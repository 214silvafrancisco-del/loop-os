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empresasemnome932.sharepoint.com/sites/empresasemnome26/Documentos Partilhados/3. Construção/012 Venteira, Amadora/Documentos/250731 Orçamento/"/>
    </mc:Choice>
  </mc:AlternateContent>
  <xr:revisionPtr revIDLastSave="1" documentId="13_ncr:1_{01CED217-C002-4521-B826-9747B7195B5E}" xr6:coauthVersionLast="47" xr6:coauthVersionMax="47" xr10:uidLastSave="{BDA8DCA5-0F5D-4C08-9CC5-6FFEC3F32E26}"/>
  <bookViews>
    <workbookView xWindow="-93" yWindow="-93" windowWidth="20666" windowHeight="12266" activeTab="1" xr2:uid="{00000000-000D-0000-FFFF-FFFF00000000}"/>
  </bookViews>
  <sheets>
    <sheet name="RESUMO" sheetId="21" r:id="rId1"/>
    <sheet name="Orçamento" sheetId="30" r:id="rId2"/>
    <sheet name="medição" sheetId="28" r:id="rId3"/>
    <sheet name="verificações" sheetId="26" r:id="rId4"/>
  </sheets>
  <definedNames>
    <definedName name="_xlnm.Print_Titles" localSheetId="2">medição!$5:$5</definedName>
    <definedName name="_xlnm.Print_Titles" localSheetId="1">Orçamento!$5:$6</definedName>
    <definedName name="_xlnm.Print_Titles" localSheetId="0">RESUMO!$1:$6</definedName>
    <definedName name="_xlnm.Print_Titles" localSheetId="3">verificações!$1:$7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18" i="30" l="1"/>
  <c r="F103" i="30"/>
  <c r="F27" i="30"/>
  <c r="F25" i="30"/>
  <c r="F132" i="30"/>
  <c r="F107" i="30"/>
  <c r="F135" i="30" l="1"/>
  <c r="B135" i="30"/>
  <c r="F134" i="30"/>
  <c r="F130" i="30"/>
  <c r="F129" i="30"/>
  <c r="F128" i="30"/>
  <c r="F127" i="30"/>
  <c r="F126" i="30"/>
  <c r="F105" i="30"/>
  <c r="F125" i="30"/>
  <c r="F124" i="30"/>
  <c r="B124" i="30"/>
  <c r="F123" i="30"/>
  <c r="F122" i="30"/>
  <c r="F120" i="30"/>
  <c r="F117" i="30"/>
  <c r="F116" i="30"/>
  <c r="F115" i="30"/>
  <c r="F114" i="30"/>
  <c r="F60" i="30" l="1"/>
  <c r="F62" i="30"/>
  <c r="F58" i="30"/>
  <c r="F23" i="30" l="1"/>
  <c r="F22" i="30"/>
  <c r="F21" i="30"/>
  <c r="F75" i="30" l="1"/>
  <c r="B75" i="30"/>
  <c r="F74" i="30"/>
  <c r="F73" i="30"/>
  <c r="F72" i="30"/>
  <c r="F70" i="30"/>
  <c r="F69" i="30"/>
  <c r="F68" i="30"/>
  <c r="F67" i="30"/>
  <c r="F66" i="30"/>
  <c r="F53" i="30"/>
  <c r="F47" i="30"/>
  <c r="F98" i="30"/>
  <c r="F97" i="30"/>
  <c r="B97" i="30"/>
  <c r="F96" i="30"/>
  <c r="F95" i="30"/>
  <c r="F94" i="30"/>
  <c r="F91" i="30"/>
  <c r="F90" i="30"/>
  <c r="F89" i="30"/>
  <c r="F88" i="30"/>
  <c r="F86" i="30"/>
  <c r="B86" i="30"/>
  <c r="F85" i="30"/>
  <c r="F84" i="30"/>
  <c r="F83" i="30"/>
  <c r="F81" i="30"/>
  <c r="F80" i="30"/>
  <c r="F79" i="30"/>
  <c r="F78" i="30"/>
  <c r="F77" i="30"/>
  <c r="F38" i="30"/>
  <c r="F35" i="30"/>
  <c r="F34" i="30"/>
  <c r="F92" i="30" l="1"/>
  <c r="C37" i="21"/>
  <c r="F49" i="30"/>
  <c r="F48" i="30"/>
  <c r="F16" i="30"/>
  <c r="F19" i="30"/>
  <c r="F15" i="30"/>
  <c r="F14" i="30"/>
  <c r="F113" i="30"/>
  <c r="F112" i="30"/>
  <c r="B112" i="30"/>
  <c r="F111" i="30"/>
  <c r="F110" i="30"/>
  <c r="F109" i="30"/>
  <c r="F102" i="30"/>
  <c r="F101" i="30"/>
  <c r="F100" i="30"/>
  <c r="F99" i="30"/>
  <c r="F87" i="30"/>
  <c r="F64" i="30"/>
  <c r="B64" i="30"/>
  <c r="F55" i="30"/>
  <c r="F52" i="30"/>
  <c r="F51" i="30"/>
  <c r="F44" i="30"/>
  <c r="F43" i="30"/>
  <c r="F41" i="30"/>
  <c r="B41" i="30"/>
  <c r="F32" i="30"/>
  <c r="F31" i="30"/>
  <c r="F30" i="30"/>
  <c r="B30" i="30"/>
  <c r="F13" i="30"/>
  <c r="F12" i="30"/>
  <c r="F9" i="30"/>
  <c r="F8" i="30"/>
  <c r="F7" i="30"/>
  <c r="A1" i="30"/>
  <c r="H20" i="28"/>
  <c r="G17" i="28"/>
  <c r="G18" i="28"/>
  <c r="G19" i="28"/>
  <c r="G20" i="28"/>
  <c r="G16" i="28"/>
  <c r="G7" i="28"/>
  <c r="H9" i="28" s="1"/>
  <c r="B33" i="21"/>
  <c r="B32" i="21"/>
  <c r="B31" i="21"/>
  <c r="A32" i="21"/>
  <c r="A31" i="21"/>
  <c r="B30" i="21"/>
  <c r="A30" i="21"/>
  <c r="B28" i="21"/>
  <c r="A28" i="21"/>
  <c r="B27" i="21"/>
  <c r="A27" i="21"/>
  <c r="B25" i="21"/>
  <c r="A25" i="21"/>
  <c r="B24" i="21"/>
  <c r="A24" i="21"/>
  <c r="B23" i="21"/>
  <c r="A23" i="21"/>
  <c r="B21" i="21"/>
  <c r="A21" i="21"/>
  <c r="B20" i="21"/>
  <c r="A20" i="21"/>
  <c r="B18" i="21"/>
  <c r="A18" i="21"/>
  <c r="B17" i="21"/>
  <c r="A17" i="21"/>
  <c r="B16" i="21"/>
  <c r="A16" i="21"/>
  <c r="B15" i="21"/>
  <c r="A15" i="21"/>
  <c r="B14" i="21"/>
  <c r="A14" i="21"/>
  <c r="B12" i="21"/>
  <c r="A12" i="21"/>
  <c r="B11" i="21"/>
  <c r="A11" i="21"/>
  <c r="B10" i="21"/>
  <c r="A10" i="21"/>
  <c r="B8" i="21"/>
  <c r="A8" i="21"/>
  <c r="B7" i="21"/>
  <c r="A7" i="21"/>
  <c r="F36" i="30" l="1"/>
  <c r="G19" i="30"/>
  <c r="A2" i="26"/>
  <c r="A1" i="26"/>
  <c r="A1" i="28"/>
  <c r="G14" i="28"/>
  <c r="G13" i="28"/>
  <c r="G12" i="28"/>
  <c r="G10" i="28"/>
  <c r="G11" i="28"/>
  <c r="G15" i="28"/>
  <c r="G21" i="28"/>
  <c r="G22" i="28"/>
  <c r="G23" i="28"/>
  <c r="G24" i="28"/>
  <c r="G25" i="28"/>
  <c r="G26" i="28"/>
  <c r="G27" i="28"/>
  <c r="G28" i="28"/>
  <c r="G29" i="28"/>
  <c r="G30" i="28"/>
  <c r="G31" i="28"/>
  <c r="G32" i="28"/>
  <c r="G33" i="28"/>
  <c r="G34" i="28"/>
  <c r="G35" i="28"/>
  <c r="G36" i="28"/>
  <c r="G37" i="28"/>
  <c r="G38" i="28"/>
  <c r="G39" i="28"/>
  <c r="G40" i="28"/>
  <c r="G41" i="28"/>
  <c r="G42" i="28"/>
  <c r="G43" i="28"/>
  <c r="G44" i="28"/>
  <c r="G45" i="28"/>
  <c r="G46" i="28"/>
  <c r="G47" i="28"/>
  <c r="G48" i="28"/>
  <c r="G49" i="28"/>
  <c r="G50" i="28"/>
  <c r="G51" i="28"/>
  <c r="G52" i="28"/>
  <c r="G53" i="28"/>
  <c r="G54" i="28"/>
  <c r="G55" i="28"/>
  <c r="G56" i="28"/>
  <c r="G57" i="28"/>
  <c r="G58" i="28"/>
  <c r="G59" i="28"/>
  <c r="G60" i="28"/>
  <c r="G61" i="28"/>
  <c r="G62" i="28"/>
  <c r="G63" i="28"/>
  <c r="G64" i="28"/>
  <c r="G65" i="28"/>
  <c r="G66" i="28"/>
  <c r="G67" i="28"/>
  <c r="G68" i="28"/>
  <c r="G69" i="28"/>
  <c r="G70" i="28"/>
  <c r="G71" i="28"/>
  <c r="G72" i="28"/>
  <c r="G73" i="28"/>
  <c r="G74" i="28"/>
  <c r="G75" i="28"/>
  <c r="G76" i="28"/>
  <c r="G77" i="28"/>
  <c r="G78" i="28"/>
  <c r="G79" i="28"/>
  <c r="G80" i="28"/>
  <c r="G81" i="28"/>
  <c r="G82" i="28"/>
  <c r="G83" i="28"/>
  <c r="G84" i="28"/>
  <c r="G85" i="28"/>
  <c r="G9" i="28"/>
  <c r="H14" i="28" l="1"/>
  <c r="G27" i="30" l="1"/>
  <c r="H30" i="30" s="1"/>
  <c r="G6" i="28"/>
  <c r="C15" i="26" l="1"/>
  <c r="C8" i="21" l="1"/>
  <c r="C7" i="21" s="1"/>
  <c r="C12" i="21" l="1"/>
  <c r="C11" i="21"/>
  <c r="C10" i="21" l="1"/>
  <c r="C15" i="21" l="1"/>
  <c r="C16" i="21" l="1"/>
  <c r="C17" i="21" l="1"/>
  <c r="C18" i="21" l="1"/>
  <c r="C14" i="21" s="1"/>
  <c r="C24" i="21" l="1"/>
  <c r="C25" i="21" l="1"/>
  <c r="C23" i="21" s="1"/>
  <c r="C21" i="21"/>
  <c r="C20" i="21" s="1"/>
  <c r="C28" i="21" l="1"/>
  <c r="C27" i="21" s="1"/>
  <c r="C31" i="21"/>
  <c r="C32" i="21" l="1"/>
  <c r="C11" i="26" l="1"/>
  <c r="D11" i="26" s="1"/>
  <c r="C12" i="26" l="1"/>
  <c r="D12" i="26" s="1"/>
  <c r="C33" i="21"/>
  <c r="C30" i="21" l="1"/>
  <c r="C5" i="21" s="1"/>
  <c r="C9" i="26" s="1"/>
  <c r="D9" i="26" s="1"/>
  <c r="C10" i="26" l="1"/>
  <c r="D10" i="26" s="1"/>
  <c r="F137" i="30" l="1"/>
  <c r="G38" i="30"/>
  <c r="G49" i="30" l="1"/>
  <c r="G55" i="30" s="1"/>
  <c r="H41" i="30"/>
  <c r="G62" i="30" l="1"/>
  <c r="H64" i="30" l="1"/>
  <c r="G72" i="30"/>
  <c r="G83" i="30" s="1"/>
  <c r="H75" i="30" l="1"/>
  <c r="H86" i="30" s="1"/>
  <c r="G94" i="30"/>
  <c r="G109" i="30" s="1"/>
  <c r="H97" i="30" l="1"/>
  <c r="H112" i="30" s="1"/>
  <c r="G122" i="30"/>
  <c r="G132" i="30" s="1"/>
  <c r="G137" i="30" l="1"/>
  <c r="H124" i="30" l="1"/>
  <c r="H135" i="30" l="1"/>
  <c r="H137" i="30" s="1"/>
</calcChain>
</file>

<file path=xl/sharedStrings.xml><?xml version="1.0" encoding="utf-8"?>
<sst xmlns="http://schemas.openxmlformats.org/spreadsheetml/2006/main" count="155" uniqueCount="108">
  <si>
    <t>Artigo</t>
  </si>
  <si>
    <t>Referência</t>
  </si>
  <si>
    <t>Totais</t>
  </si>
  <si>
    <t>Qtd.</t>
  </si>
  <si>
    <t>un</t>
  </si>
  <si>
    <t xml:space="preserve">Total </t>
  </si>
  <si>
    <t>Parcial</t>
  </si>
  <si>
    <t>Capítulo</t>
  </si>
  <si>
    <t>Preço do artigo</t>
  </si>
  <si>
    <t>Unitário</t>
  </si>
  <si>
    <t>vg</t>
  </si>
  <si>
    <t>NOTAS IMPORTANTES:</t>
  </si>
  <si>
    <t>Folha de verificação de somatórios</t>
  </si>
  <si>
    <t>ESTA FOLHA NÃO PRECISA DE SER IMPRESSA NEM ANEXA À PROPOSTA</t>
  </si>
  <si>
    <t>Total global da folha resumo</t>
  </si>
  <si>
    <t>Somatório de todos os totais e capítulos da folha resumo dividido por 2</t>
  </si>
  <si>
    <t>Somatório de todos os artigos do MQT</t>
  </si>
  <si>
    <t>C</t>
  </si>
  <si>
    <t>D</t>
  </si>
  <si>
    <t>A</t>
  </si>
  <si>
    <t>B</t>
  </si>
  <si>
    <t>SOMA</t>
  </si>
  <si>
    <t>SOMA - D</t>
  </si>
  <si>
    <t>Mapa de quantidades</t>
  </si>
  <si>
    <t>Resumo</t>
  </si>
  <si>
    <t>Total global da folha MQT - Parcelares (coluna G)</t>
  </si>
  <si>
    <t>Total global da folha MQT - Capítulos (coluna H)</t>
  </si>
  <si>
    <t>E</t>
  </si>
  <si>
    <t>Total</t>
  </si>
  <si>
    <t>Lista de artigos</t>
  </si>
  <si>
    <t>P. iguais</t>
  </si>
  <si>
    <t>Comp.</t>
  </si>
  <si>
    <t>Larg.</t>
  </si>
  <si>
    <t>Altura</t>
  </si>
  <si>
    <t>Element.</t>
  </si>
  <si>
    <t>Parciais</t>
  </si>
  <si>
    <t>Medições</t>
  </si>
  <si>
    <t>TOTAL:</t>
  </si>
  <si>
    <t>3.1.1</t>
  </si>
  <si>
    <t>4.1.1</t>
  </si>
  <si>
    <r>
      <t xml:space="preserve">TOTAL GERAL </t>
    </r>
    <r>
      <rPr>
        <sz val="9"/>
        <color theme="0"/>
        <rFont val="Arial"/>
        <family val="2"/>
      </rPr>
      <t>(3 colunas deverão ter o mesmo valor)</t>
    </r>
  </si>
  <si>
    <t>RESUMO: Total geral</t>
  </si>
  <si>
    <t>1.1.1</t>
  </si>
  <si>
    <t>Observações</t>
  </si>
  <si>
    <t>5.1.1</t>
  </si>
  <si>
    <t>Cozinha</t>
  </si>
  <si>
    <t>3.2.1</t>
  </si>
  <si>
    <t>3.1.2</t>
  </si>
  <si>
    <t>3.1</t>
  </si>
  <si>
    <t>Área de cerâmico a arrancar</t>
  </si>
  <si>
    <t>3.2</t>
  </si>
  <si>
    <t>0.8</t>
  </si>
  <si>
    <t>0.72</t>
  </si>
  <si>
    <t xml:space="preserve">Fornecimento de cerâmico para paredes da instalação sanitária. </t>
  </si>
  <si>
    <t xml:space="preserve">Fornecimento de cerâmico para pavimento da instlaação sanitária. </t>
  </si>
  <si>
    <t>5.1</t>
  </si>
  <si>
    <t>4.1</t>
  </si>
  <si>
    <t>6.1</t>
  </si>
  <si>
    <t>6.1.1</t>
  </si>
  <si>
    <t>Demolições</t>
  </si>
  <si>
    <t>Margem</t>
  </si>
  <si>
    <t>Instalações Sanitárias</t>
  </si>
  <si>
    <t>1.1</t>
  </si>
  <si>
    <t>2.2</t>
  </si>
  <si>
    <t>Cerâmico</t>
  </si>
  <si>
    <t>Aplicação de cerâmico nas paredes e pavimento, incluindo todo o material necessáiro à sua correta aplicação: cimento cola, betume, espacadores, selantes e perfis de encaixe. Neste artigo o cerâmico está excluido.</t>
  </si>
  <si>
    <t>Canalizações</t>
  </si>
  <si>
    <t>Eletricidade</t>
  </si>
  <si>
    <t>Fornecimento e montagem de quadro elétrico novo (Efapel): incluindo dijuntores, alteração, diferenciais de correr, cablagem elétrica de todo o apartamento e uniformização de aparelhagem.</t>
  </si>
  <si>
    <t>Fornecimento e montagem de rede de distribuição de água e drenagem no interior do apartamento. Incluindo: tubagem, acessórios de ligação, torneiras de corte e sifões.</t>
  </si>
  <si>
    <t>Cerâmico (IS social)</t>
  </si>
  <si>
    <t>Cerâmico (IS principal)</t>
  </si>
  <si>
    <t>Portas</t>
  </si>
  <si>
    <t>2.2.1</t>
  </si>
  <si>
    <t>Portas interiores</t>
  </si>
  <si>
    <t>Demolições e Apoio de Construção Civil</t>
  </si>
  <si>
    <t>1.2</t>
  </si>
  <si>
    <t>1.2.1</t>
  </si>
  <si>
    <t>7.1</t>
  </si>
  <si>
    <t>7.1.1</t>
  </si>
  <si>
    <t>9.1</t>
  </si>
  <si>
    <t>9.1.1</t>
  </si>
  <si>
    <t>Execução e remate dos roços necessários para a instalação da nova rede elétrica e de águas. Incluindo os equipamentos e materiais necessário para a correcta execução do trabalho.</t>
  </si>
  <si>
    <t>Instalação de equipamentos das IS</t>
  </si>
  <si>
    <t>Apoio de construção civil</t>
  </si>
  <si>
    <t>Aplicação de cerâmico no pavimento, incluindo todo o material necessário à sua correta aplicação: cimento cola, betume, espacadores, selantes e perfis de encaixe. Neste artigo o cerâmico está excluido.</t>
  </si>
  <si>
    <t>Aplicação e afinação de portas, aduelas e ombreiras bem como remate das paredes resultante da demolição das portas existentes.</t>
  </si>
  <si>
    <t>10.1</t>
  </si>
  <si>
    <t>10.1.1</t>
  </si>
  <si>
    <t>Pintura e pladur</t>
  </si>
  <si>
    <t>3.3</t>
  </si>
  <si>
    <t>3.3.1</t>
  </si>
  <si>
    <t>Os valores apresentados estão excluídos de IVA à taxa legal em vigor</t>
  </si>
  <si>
    <t>Apartamento Amadora</t>
  </si>
  <si>
    <t>7.1.2</t>
  </si>
  <si>
    <t>Pavimento</t>
  </si>
  <si>
    <t>Aplicação de vinilico no hall,corredor, sala e quartos</t>
  </si>
  <si>
    <t>Logistica</t>
  </si>
  <si>
    <t>Serviço de ir levantar à loja e transportar para o apartamento os seguintes materiais: ceramico, pavimento, rodapés, moveis de casa de banho, sanitários, torneiras, eletrodoméstico, guardar de duche</t>
  </si>
  <si>
    <t>1.2.2</t>
  </si>
  <si>
    <t>Execução de nova parede da IS e parede que tapa o vão existente entre a cozinha e o quarto, incluindo acabamento para ser pintada.</t>
  </si>
  <si>
    <t>Reparação e regularização de paredes</t>
  </si>
  <si>
    <t>9.1.2</t>
  </si>
  <si>
    <t>Fornecimento e a plicação de pladur no teto do hall (incl. alhetas), corredor (incl. alhetas), cozinha (incl. sancas) e casas de banho (incl. sancas)</t>
  </si>
  <si>
    <t>Reparação e pintura geral de paredes e tetos à cor branca, incluindo primário e 3 demãos de pintura.</t>
  </si>
  <si>
    <t>Demolição, desmonte, transporte para vazadouro e reciclagem de parede entre casa de banho e quarto, parede entre sala e varanda; parede entre cozinha e varanda; parede de fora da cozinha. E os respectivos remates e todos os acabamento necessários para que estas superficios sejam pintadas.</t>
  </si>
  <si>
    <t>Este valor está exagerado, mas não sei onde colocar mais dinheiro de forma a fazer os 22k€.</t>
  </si>
  <si>
    <t>Regularização do pavimento (se necessário arrancar soalho e regularizar)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</si>
</sst>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\ &quot;€&quot;"/>
    <numFmt numFmtId="165" formatCode="_-* #,##0.00\ [$€-1]_-;\-* #,##0.00\ [$€-1]_-;_-* &quot;-&quot;??\ [$€-1]_-"/>
    <numFmt numFmtId="166" formatCode="#,##0.00_ ;[Red]\-#,##0.00\ "/>
    <numFmt numFmtId="167" formatCode="0_ ;[Red]\-0\ "/>
    <numFmt numFmtId="168" formatCode="#,##0\ [$€];\-#,##0\ [$€]"/>
    <numFmt numFmtId="169" formatCode="0.00_ ;[Red]\-0.00\ "/>
  </numFmts>
  <fonts count="27">
    <font>
      <sz val="8"/>
      <name val="MS Sans Serif"/>
    </font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8"/>
      <name val="MS Sans Serif"/>
      <family val="2"/>
    </font>
    <font>
      <b/>
      <sz val="9"/>
      <name val="Arial"/>
      <family val="2"/>
    </font>
    <font>
      <b/>
      <sz val="8"/>
      <name val="MS Sans Serif"/>
    </font>
    <font>
      <sz val="10"/>
      <name val="Arial"/>
      <family val="2"/>
    </font>
    <font>
      <sz val="10"/>
      <name val="Swiss (scalable)"/>
    </font>
    <font>
      <sz val="11"/>
      <name val="Times New Roman"/>
      <family val="1"/>
    </font>
    <font>
      <b/>
      <sz val="12"/>
      <name val="Garamond"/>
      <family val="1"/>
    </font>
    <font>
      <sz val="8"/>
      <name val="Arial"/>
      <family val="2"/>
    </font>
    <font>
      <sz val="9"/>
      <color theme="1"/>
      <name val="Arial"/>
      <family val="2"/>
    </font>
    <font>
      <sz val="10"/>
      <name val="Arial"/>
      <family val="2"/>
      <charset val="204"/>
    </font>
    <font>
      <b/>
      <sz val="14"/>
      <name val="Arial"/>
      <family val="2"/>
    </font>
    <font>
      <b/>
      <sz val="14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0"/>
      <name val="Arial"/>
      <family val="2"/>
    </font>
    <font>
      <sz val="9"/>
      <color indexed="8"/>
      <name val="Arial"/>
      <family val="2"/>
    </font>
    <font>
      <sz val="9"/>
      <color theme="0"/>
      <name val="Arial"/>
      <family val="2"/>
    </font>
    <font>
      <b/>
      <sz val="8"/>
      <color theme="0"/>
      <name val="Arial"/>
      <family val="2"/>
    </font>
    <font>
      <sz val="8"/>
      <name val="MS Sans Serif"/>
    </font>
    <font>
      <sz val="9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5D7DA"/>
        <bgColor indexed="64"/>
      </patternFill>
    </fill>
    <fill>
      <patternFill patternType="solid">
        <fgColor rgb="FFEF5656"/>
        <bgColor indexed="64"/>
      </patternFill>
    </fill>
    <fill>
      <patternFill patternType="solid">
        <fgColor rgb="FF2D35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/>
      <right style="hair">
        <color theme="0" tint="-0.24994659260841701"/>
      </right>
      <top/>
      <bottom/>
      <diagonal/>
    </border>
    <border>
      <left style="hair">
        <color theme="0" tint="-0.24994659260841701"/>
      </left>
      <right style="hair">
        <color theme="0" tint="-0.24994659260841701"/>
      </right>
      <top/>
      <bottom/>
      <diagonal/>
    </border>
    <border>
      <left style="hair">
        <color theme="0" tint="-0.24994659260841701"/>
      </left>
      <right/>
      <top/>
      <bottom/>
      <diagonal/>
    </border>
    <border>
      <left/>
      <right style="hair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hair">
        <color theme="0" tint="-0.24994659260841701"/>
      </right>
      <top style="thin">
        <color theme="0" tint="-0.24994659260841701"/>
      </top>
      <bottom style="hair">
        <color theme="0" tint="-0.24994659260841701"/>
      </bottom>
      <diagonal/>
    </border>
    <border>
      <left/>
      <right style="thin">
        <color theme="1" tint="0.24994659260841701"/>
      </right>
      <top/>
      <bottom/>
      <diagonal/>
    </border>
    <border>
      <left style="thin">
        <color theme="1" tint="0.24994659260841701"/>
      </left>
      <right style="thin">
        <color theme="1" tint="0.24994659260841701"/>
      </right>
      <top/>
      <bottom/>
      <diagonal/>
    </border>
    <border>
      <left style="thin">
        <color theme="1" tint="0.24994659260841701"/>
      </left>
      <right/>
      <top/>
      <bottom/>
      <diagonal/>
    </border>
    <border>
      <left/>
      <right style="thin">
        <color theme="1" tint="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 tint="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0" tint="-0.24994659260841701"/>
      </top>
      <bottom/>
      <diagonal/>
    </border>
    <border>
      <left style="thin">
        <color theme="1" tint="0.24994659260841701"/>
      </left>
      <right style="hair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hair">
        <color theme="0" tint="-0.24994659260841701"/>
      </right>
      <top/>
      <bottom style="thin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theme="0" tint="-0.24994659260841701"/>
      </left>
      <right/>
      <top style="thin">
        <color theme="0" tint="-0.24994659260841701"/>
      </top>
      <bottom style="hair">
        <color theme="0" tint="-0.24994659260841701"/>
      </bottom>
      <diagonal/>
    </border>
    <border>
      <left/>
      <right style="thin">
        <color theme="1" tint="0.24994659260841701"/>
      </right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 style="thin">
        <color indexed="64"/>
      </bottom>
      <diagonal/>
    </border>
    <border>
      <left/>
      <right style="thin">
        <color theme="1" tint="0.24994659260841701"/>
      </right>
      <top/>
      <bottom style="thin">
        <color indexed="64"/>
      </bottom>
      <diagonal/>
    </border>
    <border>
      <left style="thin">
        <color theme="1" tint="0.24994659260841701"/>
      </left>
      <right style="thin">
        <color theme="1" tint="0.24994659260841701"/>
      </right>
      <top/>
      <bottom style="thin">
        <color indexed="64"/>
      </bottom>
      <diagonal/>
    </border>
    <border>
      <left style="thin">
        <color theme="1" tint="0.24994659260841701"/>
      </left>
      <right/>
      <top/>
      <bottom style="thin">
        <color indexed="64"/>
      </bottom>
      <diagonal/>
    </border>
    <border>
      <left/>
      <right style="thin">
        <color theme="1" tint="0.24994659260841701"/>
      </right>
      <top style="thin">
        <color theme="0" tint="-0.24994659260841701"/>
      </top>
      <bottom style="medium">
        <color auto="1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0" tint="-0.24994659260841701"/>
      </top>
      <bottom style="medium">
        <color auto="1"/>
      </bottom>
      <diagonal/>
    </border>
    <border>
      <left style="thin">
        <color theme="1" tint="0.24994659260841701"/>
      </left>
      <right/>
      <top style="thin">
        <color theme="0" tint="-0.24994659260841701"/>
      </top>
      <bottom style="medium">
        <color auto="1"/>
      </bottom>
      <diagonal/>
    </border>
    <border>
      <left/>
      <right style="thin">
        <color theme="1" tint="0.24994659260841701"/>
      </right>
      <top style="medium">
        <color auto="1"/>
      </top>
      <bottom/>
      <diagonal/>
    </border>
    <border>
      <left style="thin">
        <color theme="1" tint="0.24994659260841701"/>
      </left>
      <right style="thin">
        <color theme="1" tint="0.24994659260841701"/>
      </right>
      <top style="medium">
        <color auto="1"/>
      </top>
      <bottom/>
      <diagonal/>
    </border>
    <border>
      <left style="thin">
        <color theme="1" tint="0.24994659260841701"/>
      </left>
      <right/>
      <top style="medium">
        <color auto="1"/>
      </top>
      <bottom/>
      <diagonal/>
    </border>
    <border>
      <left/>
      <right style="hair">
        <color theme="0" tint="-0.24994659260841701"/>
      </right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auto="1"/>
      </right>
      <top style="thin">
        <color theme="0" tint="-0.24994659260841701"/>
      </top>
      <bottom/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/>
      <diagonal/>
    </border>
    <border>
      <left style="thin">
        <color auto="1"/>
      </left>
      <right/>
      <top style="thin">
        <color theme="0" tint="-0.24994659260841701"/>
      </top>
      <bottom/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/>
      <diagonal/>
    </border>
    <border>
      <left style="thin">
        <color theme="1" tint="0.24994659260841701"/>
      </left>
      <right style="thin">
        <color auto="1"/>
      </right>
      <top/>
      <bottom/>
      <diagonal/>
    </border>
  </borders>
  <cellStyleXfs count="21">
    <xf numFmtId="0" fontId="0" fillId="0" borderId="0"/>
    <xf numFmtId="0" fontId="8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165" fontId="12" fillId="0" borderId="0" applyFont="0" applyFill="0" applyBorder="0" applyAlignment="0" applyProtection="0">
      <alignment horizontal="left"/>
      <protection locked="0"/>
    </xf>
    <xf numFmtId="0" fontId="13" fillId="0" borderId="0">
      <alignment horizontal="justify" vertical="top" wrapText="1"/>
    </xf>
    <xf numFmtId="0" fontId="14" fillId="0" borderId="0">
      <alignment wrapText="1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168" fontId="4" fillId="0" borderId="18" applyFont="0" applyFill="0" applyBorder="0" applyAlignment="0" applyProtection="0">
      <alignment horizontal="left" vertical="top"/>
    </xf>
    <xf numFmtId="0" fontId="17" fillId="0" borderId="0"/>
    <xf numFmtId="0" fontId="4" fillId="0" borderId="0"/>
    <xf numFmtId="0" fontId="4" fillId="0" borderId="0"/>
    <xf numFmtId="9" fontId="25" fillId="0" borderId="0" applyFont="0" applyFill="0" applyBorder="0" applyAlignment="0" applyProtection="0"/>
  </cellStyleXfs>
  <cellXfs count="211">
    <xf numFmtId="0" fontId="0" fillId="0" borderId="0" xfId="0"/>
    <xf numFmtId="0" fontId="0" fillId="0" borderId="0" xfId="0" applyAlignment="1">
      <alignment vertical="top" wrapText="1" shrinkToFi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top" wrapText="1" shrinkToFit="1"/>
    </xf>
    <xf numFmtId="0" fontId="2" fillId="0" borderId="1" xfId="0" applyFont="1" applyBorder="1" applyAlignment="1">
      <alignment horizontal="right" vertical="top" wrapText="1" shrinkToFit="1"/>
    </xf>
    <xf numFmtId="0" fontId="2" fillId="0" borderId="2" xfId="0" applyFont="1" applyBorder="1" applyAlignment="1">
      <alignment vertical="top" wrapText="1" shrinkToFit="1"/>
    </xf>
    <xf numFmtId="164" fontId="2" fillId="0" borderId="3" xfId="0" applyNumberFormat="1" applyFont="1" applyBorder="1" applyAlignment="1">
      <alignment horizontal="right" wrapText="1" shrinkToFit="1"/>
    </xf>
    <xf numFmtId="0" fontId="2" fillId="0" borderId="1" xfId="0" applyFont="1" applyBorder="1" applyAlignment="1">
      <alignment horizontal="left" vertical="top" wrapText="1" shrinkToFit="1"/>
    </xf>
    <xf numFmtId="0" fontId="2" fillId="0" borderId="6" xfId="0" applyFont="1" applyBorder="1" applyAlignment="1">
      <alignment horizontal="right" vertical="top" wrapText="1" shrinkToFit="1"/>
    </xf>
    <xf numFmtId="0" fontId="2" fillId="0" borderId="6" xfId="0" applyFont="1" applyBorder="1" applyAlignment="1">
      <alignment horizontal="left" vertical="top" wrapText="1" indent="2" shrinkToFit="1"/>
    </xf>
    <xf numFmtId="0" fontId="2" fillId="0" borderId="8" xfId="0" applyFont="1" applyBorder="1" applyAlignment="1">
      <alignment vertical="top" wrapText="1" shrinkToFit="1"/>
    </xf>
    <xf numFmtId="4" fontId="2" fillId="0" borderId="8" xfId="0" applyNumberFormat="1" applyFont="1" applyBorder="1" applyAlignment="1">
      <alignment horizontal="right" wrapText="1" shrinkToFit="1"/>
    </xf>
    <xf numFmtId="164" fontId="2" fillId="0" borderId="8" xfId="0" applyNumberFormat="1" applyFont="1" applyBorder="1" applyAlignment="1">
      <alignment horizontal="right" wrapText="1" shrinkToFit="1"/>
    </xf>
    <xf numFmtId="164" fontId="9" fillId="0" borderId="8" xfId="0" applyNumberFormat="1" applyFont="1" applyBorder="1" applyAlignment="1">
      <alignment horizontal="right" wrapText="1" shrinkToFit="1"/>
    </xf>
    <xf numFmtId="164" fontId="9" fillId="0" borderId="9" xfId="0" applyNumberFormat="1" applyFont="1" applyBorder="1" applyAlignment="1">
      <alignment horizontal="right" wrapText="1" shrinkToFit="1"/>
    </xf>
    <xf numFmtId="0" fontId="10" fillId="0" borderId="0" xfId="0" applyFont="1" applyAlignment="1">
      <alignment vertical="top" wrapText="1" shrinkToFit="1"/>
    </xf>
    <xf numFmtId="4" fontId="2" fillId="0" borderId="8" xfId="0" applyNumberFormat="1" applyFont="1" applyBorder="1" applyAlignment="1">
      <alignment horizontal="center" wrapText="1" shrinkToFit="1"/>
    </xf>
    <xf numFmtId="0" fontId="3" fillId="0" borderId="0" xfId="0" applyFont="1" applyAlignment="1">
      <alignment horizontal="right" vertical="top" wrapText="1"/>
    </xf>
    <xf numFmtId="0" fontId="15" fillId="0" borderId="0" xfId="9" applyFont="1"/>
    <xf numFmtId="0" fontId="9" fillId="0" borderId="16" xfId="0" applyFont="1" applyBorder="1" applyAlignment="1">
      <alignment vertical="top"/>
    </xf>
    <xf numFmtId="0" fontId="16" fillId="0" borderId="16" xfId="0" applyFont="1" applyBorder="1"/>
    <xf numFmtId="0" fontId="2" fillId="0" borderId="16" xfId="0" applyFont="1" applyBorder="1" applyAlignment="1">
      <alignment horizontal="justify" vertical="top" wrapText="1"/>
    </xf>
    <xf numFmtId="4" fontId="16" fillId="0" borderId="16" xfId="0" applyNumberFormat="1" applyFont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2" fillId="0" borderId="16" xfId="3" applyFont="1" applyBorder="1" applyAlignment="1">
      <alignment horizontal="justify" vertical="top" wrapText="1"/>
    </xf>
    <xf numFmtId="164" fontId="2" fillId="0" borderId="16" xfId="0" applyNumberFormat="1" applyFont="1" applyBorder="1" applyAlignment="1">
      <alignment horizontal="right" wrapText="1" shrinkToFit="1"/>
    </xf>
    <xf numFmtId="164" fontId="9" fillId="0" borderId="16" xfId="0" applyNumberFormat="1" applyFont="1" applyBorder="1" applyAlignment="1">
      <alignment horizontal="right" wrapText="1" shrinkToFit="1"/>
    </xf>
    <xf numFmtId="164" fontId="9" fillId="0" borderId="17" xfId="0" applyNumberFormat="1" applyFont="1" applyBorder="1" applyAlignment="1">
      <alignment horizontal="right" wrapText="1" shrinkToFit="1"/>
    </xf>
    <xf numFmtId="0" fontId="9" fillId="0" borderId="16" xfId="0" applyFont="1" applyBorder="1" applyAlignment="1">
      <alignment vertical="top" wrapText="1" shrinkToFit="1"/>
    </xf>
    <xf numFmtId="4" fontId="9" fillId="0" borderId="16" xfId="0" applyNumberFormat="1" applyFont="1" applyBorder="1" applyAlignment="1">
      <alignment horizontal="right" wrapText="1" shrinkToFit="1"/>
    </xf>
    <xf numFmtId="4" fontId="9" fillId="0" borderId="16" xfId="0" applyNumberFormat="1" applyFont="1" applyBorder="1" applyAlignment="1">
      <alignment horizontal="center" wrapText="1" shrinkToFit="1"/>
    </xf>
    <xf numFmtId="0" fontId="2" fillId="0" borderId="7" xfId="0" applyFont="1" applyBorder="1" applyAlignment="1">
      <alignment horizontal="left" vertical="top" wrapText="1" shrinkToFit="1"/>
    </xf>
    <xf numFmtId="0" fontId="2" fillId="0" borderId="15" xfId="0" applyFont="1" applyBorder="1" applyAlignment="1">
      <alignment horizontal="left" vertical="top"/>
    </xf>
    <xf numFmtId="0" fontId="9" fillId="0" borderId="15" xfId="0" applyFont="1" applyBorder="1" applyAlignment="1">
      <alignment horizontal="left" vertical="top"/>
    </xf>
    <xf numFmtId="0" fontId="16" fillId="0" borderId="15" xfId="0" applyFont="1" applyBorder="1" applyAlignment="1">
      <alignment horizontal="left"/>
    </xf>
    <xf numFmtId="0" fontId="9" fillId="0" borderId="15" xfId="0" applyFont="1" applyBorder="1" applyAlignment="1">
      <alignment horizontal="left" vertical="top" wrapText="1" shrinkToFit="1"/>
    </xf>
    <xf numFmtId="0" fontId="2" fillId="0" borderId="0" xfId="0" applyFont="1" applyAlignment="1">
      <alignment vertical="top" wrapText="1" shrinkToFit="1"/>
    </xf>
    <xf numFmtId="0" fontId="2" fillId="0" borderId="8" xfId="0" applyFont="1" applyBorder="1" applyAlignment="1">
      <alignment horizontal="left" vertical="top" wrapText="1" indent="2" shrinkToFit="1"/>
    </xf>
    <xf numFmtId="164" fontId="9" fillId="0" borderId="16" xfId="0" applyNumberFormat="1" applyFont="1" applyBorder="1"/>
    <xf numFmtId="0" fontId="16" fillId="0" borderId="17" xfId="0" applyFont="1" applyBorder="1"/>
    <xf numFmtId="164" fontId="16" fillId="0" borderId="16" xfId="0" applyNumberFormat="1" applyFont="1" applyBorder="1"/>
    <xf numFmtId="164" fontId="2" fillId="0" borderId="16" xfId="9" applyNumberFormat="1" applyFont="1" applyBorder="1"/>
    <xf numFmtId="166" fontId="2" fillId="0" borderId="17" xfId="9" applyNumberFormat="1" applyFont="1" applyBorder="1"/>
    <xf numFmtId="4" fontId="0" fillId="0" borderId="0" xfId="0" applyNumberFormat="1" applyAlignment="1">
      <alignment horizontal="right" wrapText="1" shrinkToFit="1"/>
    </xf>
    <xf numFmtId="4" fontId="0" fillId="0" borderId="0" xfId="0" applyNumberFormat="1" applyAlignment="1">
      <alignment horizontal="center" wrapText="1" shrinkToFit="1"/>
    </xf>
    <xf numFmtId="164" fontId="0" fillId="0" borderId="0" xfId="0" applyNumberFormat="1" applyAlignment="1">
      <alignment wrapText="1" shrinkToFit="1"/>
    </xf>
    <xf numFmtId="0" fontId="6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right" vertical="top" wrapText="1" shrinkToFit="1"/>
    </xf>
    <xf numFmtId="0" fontId="9" fillId="0" borderId="1" xfId="0" applyFont="1" applyBorder="1" applyAlignment="1">
      <alignment vertical="top" wrapText="1" shrinkToFit="1"/>
    </xf>
    <xf numFmtId="0" fontId="2" fillId="0" borderId="1" xfId="0" applyFont="1" applyBorder="1" applyAlignment="1">
      <alignment vertical="top" wrapText="1" shrinkToFit="1"/>
    </xf>
    <xf numFmtId="0" fontId="9" fillId="0" borderId="1" xfId="0" applyFont="1" applyBorder="1" applyAlignment="1">
      <alignment horizontal="center" vertical="top" wrapText="1" shrinkToFit="1"/>
    </xf>
    <xf numFmtId="0" fontId="2" fillId="0" borderId="20" xfId="0" applyFont="1" applyBorder="1" applyAlignment="1">
      <alignment horizontal="right" vertical="top" wrapText="1" shrinkToFit="1"/>
    </xf>
    <xf numFmtId="0" fontId="2" fillId="0" borderId="20" xfId="0" applyFont="1" applyBorder="1" applyAlignment="1">
      <alignment horizontal="left" vertical="top" wrapText="1" indent="2" shrinkToFit="1"/>
    </xf>
    <xf numFmtId="164" fontId="2" fillId="0" borderId="21" xfId="0" applyNumberFormat="1" applyFont="1" applyBorder="1" applyAlignment="1">
      <alignment horizontal="right" vertical="top" wrapText="1" shrinkToFit="1"/>
    </xf>
    <xf numFmtId="164" fontId="6" fillId="0" borderId="0" xfId="0" applyNumberFormat="1" applyFont="1" applyAlignment="1">
      <alignment horizontal="center" vertical="center" wrapText="1"/>
    </xf>
    <xf numFmtId="164" fontId="2" fillId="0" borderId="23" xfId="0" applyNumberFormat="1" applyFont="1" applyBorder="1" applyAlignment="1">
      <alignment horizontal="right" vertical="top" wrapText="1" shrinkToFit="1"/>
    </xf>
    <xf numFmtId="164" fontId="0" fillId="0" borderId="0" xfId="0" applyNumberFormat="1" applyAlignment="1">
      <alignment vertical="top" wrapText="1" shrinkToFit="1"/>
    </xf>
    <xf numFmtId="0" fontId="0" fillId="0" borderId="0" xfId="0" applyAlignment="1">
      <alignment horizontal="left" vertical="top" wrapText="1" shrinkToFit="1"/>
    </xf>
    <xf numFmtId="0" fontId="9" fillId="0" borderId="0" xfId="0" applyFont="1" applyAlignment="1">
      <alignment vertical="top" wrapText="1" shrinkToFit="1"/>
    </xf>
    <xf numFmtId="164" fontId="2" fillId="0" borderId="0" xfId="0" applyNumberFormat="1" applyFont="1" applyAlignment="1">
      <alignment vertical="top" wrapText="1" shrinkToFit="1"/>
    </xf>
    <xf numFmtId="0" fontId="2" fillId="0" borderId="19" xfId="0" applyFont="1" applyBorder="1" applyAlignment="1">
      <alignment horizontal="left" vertical="top" wrapText="1" indent="2" shrinkToFit="1"/>
    </xf>
    <xf numFmtId="164" fontId="9" fillId="0" borderId="2" xfId="0" applyNumberFormat="1" applyFont="1" applyBorder="1" applyAlignment="1">
      <alignment horizontal="right" vertical="top" wrapText="1" shrinkToFit="1"/>
    </xf>
    <xf numFmtId="164" fontId="2" fillId="0" borderId="2" xfId="0" applyNumberFormat="1" applyFont="1" applyBorder="1" applyAlignment="1">
      <alignment horizontal="right" vertical="top" wrapText="1" shrinkToFit="1"/>
    </xf>
    <xf numFmtId="164" fontId="9" fillId="2" borderId="2" xfId="0" applyNumberFormat="1" applyFont="1" applyFill="1" applyBorder="1" applyAlignment="1">
      <alignment horizontal="right" vertical="top" wrapText="1" shrinkToFit="1"/>
    </xf>
    <xf numFmtId="0" fontId="9" fillId="3" borderId="10" xfId="0" applyFont="1" applyFill="1" applyBorder="1" applyAlignment="1">
      <alignment horizontal="left" vertical="top" wrapText="1" shrinkToFit="1"/>
    </xf>
    <xf numFmtId="0" fontId="9" fillId="3" borderId="11" xfId="0" applyFont="1" applyFill="1" applyBorder="1" applyAlignment="1">
      <alignment vertical="top" wrapText="1" shrinkToFit="1"/>
    </xf>
    <xf numFmtId="4" fontId="9" fillId="3" borderId="11" xfId="0" applyNumberFormat="1" applyFont="1" applyFill="1" applyBorder="1" applyAlignment="1">
      <alignment horizontal="right" wrapText="1" shrinkToFit="1"/>
    </xf>
    <xf numFmtId="4" fontId="9" fillId="3" borderId="11" xfId="0" applyNumberFormat="1" applyFont="1" applyFill="1" applyBorder="1" applyAlignment="1">
      <alignment horizontal="center" wrapText="1" shrinkToFit="1"/>
    </xf>
    <xf numFmtId="164" fontId="9" fillId="3" borderId="11" xfId="0" applyNumberFormat="1" applyFont="1" applyFill="1" applyBorder="1" applyAlignment="1">
      <alignment horizontal="right" wrapText="1" shrinkToFit="1"/>
    </xf>
    <xf numFmtId="164" fontId="9" fillId="3" borderId="12" xfId="0" applyNumberFormat="1" applyFont="1" applyFill="1" applyBorder="1" applyAlignment="1">
      <alignment horizontal="right" wrapText="1" shrinkToFit="1"/>
    </xf>
    <xf numFmtId="0" fontId="9" fillId="3" borderId="5" xfId="0" applyFont="1" applyFill="1" applyBorder="1" applyAlignment="1">
      <alignment vertical="top" wrapText="1" shrinkToFit="1"/>
    </xf>
    <xf numFmtId="164" fontId="9" fillId="3" borderId="22" xfId="0" applyNumberFormat="1" applyFont="1" applyFill="1" applyBorder="1" applyAlignment="1">
      <alignment horizontal="right" vertical="top" wrapText="1" shrinkToFit="1"/>
    </xf>
    <xf numFmtId="0" fontId="9" fillId="3" borderId="4" xfId="0" applyFont="1" applyFill="1" applyBorder="1" applyAlignment="1">
      <alignment horizontal="right" vertical="top" wrapText="1" shrinkToFit="1"/>
    </xf>
    <xf numFmtId="164" fontId="2" fillId="0" borderId="2" xfId="0" applyNumberFormat="1" applyFont="1" applyBorder="1" applyAlignment="1">
      <alignment horizontal="right" wrapText="1" shrinkToFit="1"/>
    </xf>
    <xf numFmtId="164" fontId="9" fillId="3" borderId="5" xfId="0" applyNumberFormat="1" applyFont="1" applyFill="1" applyBorder="1" applyAlignment="1">
      <alignment horizontal="right" vertical="top" wrapText="1" shrinkToFit="1"/>
    </xf>
    <xf numFmtId="0" fontId="9" fillId="3" borderId="22" xfId="0" applyFont="1" applyFill="1" applyBorder="1" applyAlignment="1">
      <alignment horizontal="center" vertical="top" wrapText="1" shrinkToFit="1"/>
    </xf>
    <xf numFmtId="0" fontId="9" fillId="3" borderId="22" xfId="0" applyFont="1" applyFill="1" applyBorder="1" applyAlignment="1">
      <alignment vertical="top" wrapText="1" shrinkToFit="1"/>
    </xf>
    <xf numFmtId="0" fontId="20" fillId="0" borderId="15" xfId="0" applyFont="1" applyBorder="1" applyAlignment="1">
      <alignment horizontal="left"/>
    </xf>
    <xf numFmtId="0" fontId="20" fillId="0" borderId="16" xfId="0" applyFont="1" applyBorder="1"/>
    <xf numFmtId="0" fontId="20" fillId="0" borderId="16" xfId="0" applyFont="1" applyBorder="1" applyAlignment="1">
      <alignment horizontal="center"/>
    </xf>
    <xf numFmtId="0" fontId="20" fillId="0" borderId="17" xfId="0" applyFont="1" applyBorder="1"/>
    <xf numFmtId="0" fontId="3" fillId="0" borderId="0" xfId="0" applyFont="1" applyAlignment="1">
      <alignment horizontal="left" vertical="top"/>
    </xf>
    <xf numFmtId="4" fontId="6" fillId="0" borderId="0" xfId="0" applyNumberFormat="1" applyFont="1" applyAlignment="1">
      <alignment horizontal="center" vertical="center" wrapText="1"/>
    </xf>
    <xf numFmtId="4" fontId="4" fillId="0" borderId="0" xfId="0" applyNumberFormat="1" applyFont="1" applyAlignment="1">
      <alignment horizontal="center"/>
    </xf>
    <xf numFmtId="0" fontId="2" fillId="0" borderId="32" xfId="0" applyFont="1" applyBorder="1" applyAlignment="1">
      <alignment vertical="top" wrapText="1" shrinkToFit="1"/>
    </xf>
    <xf numFmtId="0" fontId="2" fillId="0" borderId="33" xfId="0" applyFont="1" applyBorder="1" applyAlignment="1">
      <alignment vertical="top" wrapText="1" shrinkToFit="1"/>
    </xf>
    <xf numFmtId="0" fontId="2" fillId="0" borderId="33" xfId="0" applyFont="1" applyBorder="1" applyAlignment="1">
      <alignment horizontal="center" wrapText="1" shrinkToFit="1"/>
    </xf>
    <xf numFmtId="4" fontId="2" fillId="0" borderId="33" xfId="0" applyNumberFormat="1" applyFont="1" applyBorder="1" applyAlignment="1">
      <alignment horizontal="right" wrapText="1" shrinkToFit="1"/>
    </xf>
    <xf numFmtId="4" fontId="22" fillId="0" borderId="33" xfId="0" applyNumberFormat="1" applyFont="1" applyBorder="1" applyAlignment="1">
      <alignment horizontal="right"/>
    </xf>
    <xf numFmtId="4" fontId="2" fillId="0" borderId="34" xfId="0" applyNumberFormat="1" applyFont="1" applyBorder="1" applyAlignment="1">
      <alignment horizontal="center" wrapText="1" shrinkToFit="1"/>
    </xf>
    <xf numFmtId="0" fontId="2" fillId="0" borderId="7" xfId="0" applyFont="1" applyBorder="1" applyAlignment="1">
      <alignment vertical="top" wrapText="1" shrinkToFit="1"/>
    </xf>
    <xf numFmtId="0" fontId="2" fillId="0" borderId="8" xfId="0" applyFont="1" applyBorder="1" applyAlignment="1">
      <alignment horizontal="center" wrapText="1" shrinkToFit="1"/>
    </xf>
    <xf numFmtId="4" fontId="22" fillId="0" borderId="8" xfId="0" applyNumberFormat="1" applyFont="1" applyBorder="1" applyAlignment="1">
      <alignment horizontal="right"/>
    </xf>
    <xf numFmtId="4" fontId="2" fillId="0" borderId="9" xfId="0" applyNumberFormat="1" applyFont="1" applyBorder="1" applyAlignment="1">
      <alignment horizontal="center" wrapText="1" shrinkToFit="1"/>
    </xf>
    <xf numFmtId="0" fontId="0" fillId="0" borderId="0" xfId="0" applyAlignment="1">
      <alignment horizontal="center" vertical="top" wrapText="1" shrinkToFit="1"/>
    </xf>
    <xf numFmtId="4" fontId="0" fillId="0" borderId="0" xfId="0" applyNumberFormat="1" applyAlignment="1">
      <alignment vertical="top" wrapText="1" shrinkToFit="1"/>
    </xf>
    <xf numFmtId="0" fontId="2" fillId="0" borderId="35" xfId="0" applyFont="1" applyBorder="1" applyAlignment="1">
      <alignment horizontal="right" vertical="top" wrapText="1" shrinkToFit="1"/>
    </xf>
    <xf numFmtId="0" fontId="2" fillId="0" borderId="35" xfId="0" applyFont="1" applyBorder="1" applyAlignment="1">
      <alignment horizontal="left" vertical="top" wrapText="1" indent="2" shrinkToFit="1"/>
    </xf>
    <xf numFmtId="164" fontId="2" fillId="0" borderId="36" xfId="0" applyNumberFormat="1" applyFont="1" applyBorder="1" applyAlignment="1">
      <alignment horizontal="right" vertical="top" wrapText="1" shrinkToFit="1"/>
    </xf>
    <xf numFmtId="0" fontId="9" fillId="5" borderId="20" xfId="0" applyFont="1" applyFill="1" applyBorder="1" applyAlignment="1">
      <alignment horizontal="right" vertical="top" wrapText="1" shrinkToFit="1"/>
    </xf>
    <xf numFmtId="0" fontId="9" fillId="5" borderId="21" xfId="0" applyFont="1" applyFill="1" applyBorder="1" applyAlignment="1">
      <alignment vertical="top" wrapText="1" shrinkToFit="1"/>
    </xf>
    <xf numFmtId="164" fontId="9" fillId="5" borderId="19" xfId="0" applyNumberFormat="1" applyFont="1" applyFill="1" applyBorder="1" applyAlignment="1">
      <alignment horizontal="right" vertical="top" wrapText="1" shrinkToFit="1"/>
    </xf>
    <xf numFmtId="0" fontId="4" fillId="0" borderId="0" xfId="0" applyFont="1" applyAlignment="1">
      <alignment horizontal="right"/>
    </xf>
    <xf numFmtId="164" fontId="16" fillId="0" borderId="16" xfId="0" applyNumberFormat="1" applyFont="1" applyBorder="1" applyAlignment="1">
      <alignment horizontal="right"/>
    </xf>
    <xf numFmtId="164" fontId="0" fillId="0" borderId="0" xfId="0" applyNumberFormat="1" applyAlignment="1">
      <alignment horizontal="right" wrapText="1" shrinkToFit="1"/>
    </xf>
    <xf numFmtId="164" fontId="21" fillId="5" borderId="24" xfId="0" applyNumberFormat="1" applyFont="1" applyFill="1" applyBorder="1" applyAlignment="1">
      <alignment horizontal="left" vertical="center" wrapText="1"/>
    </xf>
    <xf numFmtId="164" fontId="21" fillId="5" borderId="13" xfId="0" applyNumberFormat="1" applyFont="1" applyFill="1" applyBorder="1" applyAlignment="1">
      <alignment horizontal="center" vertical="center" wrapText="1"/>
    </xf>
    <xf numFmtId="164" fontId="21" fillId="5" borderId="13" xfId="0" applyNumberFormat="1" applyFont="1" applyFill="1" applyBorder="1" applyAlignment="1">
      <alignment horizontal="center" wrapText="1"/>
    </xf>
    <xf numFmtId="0" fontId="21" fillId="5" borderId="26" xfId="0" applyFont="1" applyFill="1" applyBorder="1" applyAlignment="1">
      <alignment horizontal="center" vertical="center" wrapText="1"/>
    </xf>
    <xf numFmtId="0" fontId="21" fillId="5" borderId="27" xfId="0" applyFont="1" applyFill="1" applyBorder="1" applyAlignment="1">
      <alignment horizontal="center" vertical="center" wrapText="1"/>
    </xf>
    <xf numFmtId="4" fontId="24" fillId="5" borderId="27" xfId="0" applyNumberFormat="1" applyFont="1" applyFill="1" applyBorder="1" applyAlignment="1">
      <alignment horizontal="center" vertical="center" wrapText="1"/>
    </xf>
    <xf numFmtId="4" fontId="21" fillId="5" borderId="27" xfId="0" applyNumberFormat="1" applyFont="1" applyFill="1" applyBorder="1" applyAlignment="1">
      <alignment horizontal="center" vertical="center" wrapText="1"/>
    </xf>
    <xf numFmtId="164" fontId="21" fillId="5" borderId="27" xfId="0" applyNumberFormat="1" applyFont="1" applyFill="1" applyBorder="1" applyAlignment="1">
      <alignment horizontal="center" vertical="center" wrapText="1"/>
    </xf>
    <xf numFmtId="164" fontId="21" fillId="5" borderId="28" xfId="0" applyNumberFormat="1" applyFont="1" applyFill="1" applyBorder="1" applyAlignment="1">
      <alignment horizontal="center" vertical="center" wrapText="1"/>
    </xf>
    <xf numFmtId="0" fontId="21" fillId="5" borderId="20" xfId="0" applyFont="1" applyFill="1" applyBorder="1" applyAlignment="1">
      <alignment horizontal="right" vertical="center" wrapText="1" shrinkToFit="1"/>
    </xf>
    <xf numFmtId="0" fontId="21" fillId="5" borderId="21" xfId="0" applyFont="1" applyFill="1" applyBorder="1" applyAlignment="1">
      <alignment vertical="center" wrapText="1" shrinkToFit="1"/>
    </xf>
    <xf numFmtId="164" fontId="21" fillId="5" borderId="19" xfId="0" applyNumberFormat="1" applyFont="1" applyFill="1" applyBorder="1" applyAlignment="1">
      <alignment horizontal="right" vertical="center" wrapText="1" shrinkToFit="1"/>
    </xf>
    <xf numFmtId="0" fontId="21" fillId="5" borderId="29" xfId="0" applyFont="1" applyFill="1" applyBorder="1" applyAlignment="1">
      <alignment horizontal="center" vertical="center" wrapText="1"/>
    </xf>
    <xf numFmtId="0" fontId="21" fillId="5" borderId="30" xfId="0" applyFont="1" applyFill="1" applyBorder="1" applyAlignment="1">
      <alignment horizontal="center" vertical="center" wrapText="1"/>
    </xf>
    <xf numFmtId="4" fontId="24" fillId="5" borderId="30" xfId="0" applyNumberFormat="1" applyFont="1" applyFill="1" applyBorder="1" applyAlignment="1">
      <alignment horizontal="center" vertical="center" wrapText="1"/>
    </xf>
    <xf numFmtId="4" fontId="21" fillId="5" borderId="30" xfId="0" applyNumberFormat="1" applyFont="1" applyFill="1" applyBorder="1" applyAlignment="1">
      <alignment horizontal="center" vertical="center" wrapText="1"/>
    </xf>
    <xf numFmtId="164" fontId="21" fillId="5" borderId="30" xfId="0" applyNumberFormat="1" applyFont="1" applyFill="1" applyBorder="1" applyAlignment="1">
      <alignment horizontal="center" vertical="center" wrapText="1"/>
    </xf>
    <xf numFmtId="0" fontId="21" fillId="5" borderId="31" xfId="0" applyFont="1" applyFill="1" applyBorder="1" applyAlignment="1">
      <alignment horizontal="center" vertical="center" wrapText="1"/>
    </xf>
    <xf numFmtId="4" fontId="22" fillId="0" borderId="27" xfId="0" applyNumberFormat="1" applyFont="1" applyBorder="1" applyAlignment="1">
      <alignment horizontal="right"/>
    </xf>
    <xf numFmtId="4" fontId="2" fillId="0" borderId="27" xfId="0" applyNumberFormat="1" applyFont="1" applyBorder="1" applyAlignment="1">
      <alignment horizontal="right" wrapText="1" shrinkToFit="1"/>
    </xf>
    <xf numFmtId="0" fontId="2" fillId="0" borderId="8" xfId="0" applyFont="1" applyBorder="1" applyAlignment="1">
      <alignment horizontal="right" vertical="top" wrapText="1" shrinkToFit="1"/>
    </xf>
    <xf numFmtId="0" fontId="9" fillId="3" borderId="7" xfId="0" applyFont="1" applyFill="1" applyBorder="1" applyAlignment="1">
      <alignment horizontal="left" vertical="top" wrapText="1" shrinkToFit="1"/>
    </xf>
    <xf numFmtId="0" fontId="9" fillId="3" borderId="8" xfId="0" applyFont="1" applyFill="1" applyBorder="1" applyAlignment="1">
      <alignment vertical="top" wrapText="1" shrinkToFit="1"/>
    </xf>
    <xf numFmtId="4" fontId="9" fillId="3" borderId="8" xfId="0" applyNumberFormat="1" applyFont="1" applyFill="1" applyBorder="1" applyAlignment="1">
      <alignment horizontal="right" wrapText="1" shrinkToFit="1"/>
    </xf>
    <xf numFmtId="4" fontId="9" fillId="3" borderId="8" xfId="0" applyNumberFormat="1" applyFont="1" applyFill="1" applyBorder="1" applyAlignment="1">
      <alignment horizontal="center" wrapText="1" shrinkToFit="1"/>
    </xf>
    <xf numFmtId="164" fontId="9" fillId="3" borderId="8" xfId="0" applyNumberFormat="1" applyFont="1" applyFill="1" applyBorder="1" applyAlignment="1">
      <alignment horizontal="right" wrapText="1" shrinkToFit="1"/>
    </xf>
    <xf numFmtId="164" fontId="9" fillId="3" borderId="9" xfId="0" applyNumberFormat="1" applyFont="1" applyFill="1" applyBorder="1" applyAlignment="1">
      <alignment horizontal="right" wrapText="1" shrinkToFit="1"/>
    </xf>
    <xf numFmtId="0" fontId="2" fillId="0" borderId="15" xfId="0" applyFont="1" applyBorder="1" applyAlignment="1">
      <alignment horizontal="left" vertical="top" wrapText="1" shrinkToFit="1"/>
    </xf>
    <xf numFmtId="0" fontId="2" fillId="0" borderId="16" xfId="0" applyFont="1" applyBorder="1" applyAlignment="1">
      <alignment vertical="top" wrapText="1" shrinkToFit="1"/>
    </xf>
    <xf numFmtId="4" fontId="2" fillId="0" borderId="16" xfId="0" applyNumberFormat="1" applyFont="1" applyBorder="1" applyAlignment="1">
      <alignment horizontal="right" wrapText="1" shrinkToFit="1"/>
    </xf>
    <xf numFmtId="4" fontId="2" fillId="0" borderId="16" xfId="0" applyNumberFormat="1" applyFont="1" applyBorder="1" applyAlignment="1">
      <alignment horizontal="center" wrapText="1" shrinkToFit="1"/>
    </xf>
    <xf numFmtId="4" fontId="2" fillId="0" borderId="16" xfId="9" applyNumberFormat="1" applyFont="1" applyBorder="1" applyAlignment="1">
      <alignment horizontal="right"/>
    </xf>
    <xf numFmtId="0" fontId="21" fillId="5" borderId="7" xfId="0" applyFont="1" applyFill="1" applyBorder="1" applyAlignment="1">
      <alignment horizontal="left" vertical="top" wrapText="1" shrinkToFit="1"/>
    </xf>
    <xf numFmtId="0" fontId="21" fillId="5" borderId="8" xfId="0" applyFont="1" applyFill="1" applyBorder="1" applyAlignment="1">
      <alignment vertical="top" wrapText="1" shrinkToFit="1"/>
    </xf>
    <xf numFmtId="4" fontId="21" fillId="5" borderId="8" xfId="0" applyNumberFormat="1" applyFont="1" applyFill="1" applyBorder="1" applyAlignment="1">
      <alignment horizontal="right" wrapText="1" shrinkToFit="1"/>
    </xf>
    <xf numFmtId="4" fontId="21" fillId="5" borderId="8" xfId="0" applyNumberFormat="1" applyFont="1" applyFill="1" applyBorder="1" applyAlignment="1">
      <alignment horizontal="center" wrapText="1" shrinkToFit="1"/>
    </xf>
    <xf numFmtId="164" fontId="21" fillId="5" borderId="8" xfId="0" applyNumberFormat="1" applyFont="1" applyFill="1" applyBorder="1" applyAlignment="1">
      <alignment horizontal="right" wrapText="1" shrinkToFit="1"/>
    </xf>
    <xf numFmtId="164" fontId="21" fillId="5" borderId="9" xfId="0" applyNumberFormat="1" applyFont="1" applyFill="1" applyBorder="1" applyAlignment="1">
      <alignment horizontal="right" wrapText="1" shrinkToFit="1"/>
    </xf>
    <xf numFmtId="0" fontId="9" fillId="6" borderId="7" xfId="0" applyFont="1" applyFill="1" applyBorder="1" applyAlignment="1">
      <alignment horizontal="left" vertical="top" wrapText="1" shrinkToFit="1"/>
    </xf>
    <xf numFmtId="0" fontId="9" fillId="6" borderId="8" xfId="0" applyFont="1" applyFill="1" applyBorder="1" applyAlignment="1">
      <alignment vertical="top" wrapText="1" shrinkToFit="1"/>
    </xf>
    <xf numFmtId="4" fontId="9" fillId="6" borderId="8" xfId="0" applyNumberFormat="1" applyFont="1" applyFill="1" applyBorder="1" applyAlignment="1">
      <alignment horizontal="right" wrapText="1" shrinkToFit="1"/>
    </xf>
    <xf numFmtId="4" fontId="9" fillId="6" borderId="8" xfId="0" applyNumberFormat="1" applyFont="1" applyFill="1" applyBorder="1" applyAlignment="1">
      <alignment horizontal="center" wrapText="1" shrinkToFit="1"/>
    </xf>
    <xf numFmtId="164" fontId="9" fillId="6" borderId="8" xfId="0" applyNumberFormat="1" applyFont="1" applyFill="1" applyBorder="1" applyAlignment="1">
      <alignment horizontal="right" wrapText="1" shrinkToFit="1"/>
    </xf>
    <xf numFmtId="164" fontId="9" fillId="6" borderId="9" xfId="0" applyNumberFormat="1" applyFont="1" applyFill="1" applyBorder="1" applyAlignment="1">
      <alignment horizontal="right" wrapText="1" shrinkToFit="1"/>
    </xf>
    <xf numFmtId="0" fontId="2" fillId="7" borderId="15" xfId="0" applyFont="1" applyFill="1" applyBorder="1" applyAlignment="1">
      <alignment horizontal="left" vertical="top"/>
    </xf>
    <xf numFmtId="0" fontId="9" fillId="7" borderId="15" xfId="0" applyFont="1" applyFill="1" applyBorder="1" applyAlignment="1">
      <alignment horizontal="left" vertical="top"/>
    </xf>
    <xf numFmtId="0" fontId="9" fillId="7" borderId="16" xfId="0" applyFont="1" applyFill="1" applyBorder="1" applyAlignment="1">
      <alignment vertical="top"/>
    </xf>
    <xf numFmtId="0" fontId="2" fillId="0" borderId="37" xfId="0" applyFont="1" applyBorder="1" applyAlignment="1">
      <alignment horizontal="left" vertical="top" wrapText="1" shrinkToFit="1"/>
    </xf>
    <xf numFmtId="0" fontId="2" fillId="0" borderId="38" xfId="0" applyFont="1" applyBorder="1" applyAlignment="1">
      <alignment vertical="top" wrapText="1" shrinkToFit="1"/>
    </xf>
    <xf numFmtId="4" fontId="2" fillId="0" borderId="38" xfId="0" applyNumberFormat="1" applyFont="1" applyBorder="1" applyAlignment="1">
      <alignment horizontal="center" wrapText="1" shrinkToFit="1"/>
    </xf>
    <xf numFmtId="164" fontId="2" fillId="0" borderId="38" xfId="0" applyNumberFormat="1" applyFont="1" applyBorder="1" applyAlignment="1">
      <alignment horizontal="right" wrapText="1" shrinkToFit="1"/>
    </xf>
    <xf numFmtId="164" fontId="9" fillId="0" borderId="38" xfId="0" applyNumberFormat="1" applyFont="1" applyBorder="1" applyAlignment="1">
      <alignment horizontal="right" wrapText="1" shrinkToFit="1"/>
    </xf>
    <xf numFmtId="164" fontId="9" fillId="0" borderId="39" xfId="0" applyNumberFormat="1" applyFont="1" applyBorder="1" applyAlignment="1">
      <alignment horizontal="right" wrapText="1" shrinkToFit="1"/>
    </xf>
    <xf numFmtId="164" fontId="2" fillId="0" borderId="16" xfId="0" quotePrefix="1" applyNumberFormat="1" applyFont="1" applyBorder="1" applyAlignment="1">
      <alignment horizontal="right" wrapText="1" shrinkToFit="1"/>
    </xf>
    <xf numFmtId="0" fontId="2" fillId="0" borderId="0" xfId="3" applyFont="1" applyAlignment="1">
      <alignment horizontal="justify" vertical="top" wrapText="1"/>
    </xf>
    <xf numFmtId="4" fontId="22" fillId="0" borderId="40" xfId="0" applyNumberFormat="1" applyFont="1" applyBorder="1" applyAlignment="1">
      <alignment horizontal="right"/>
    </xf>
    <xf numFmtId="4" fontId="2" fillId="0" borderId="40" xfId="0" applyNumberFormat="1" applyFont="1" applyBorder="1" applyAlignment="1">
      <alignment horizontal="right" wrapText="1" shrinkToFit="1"/>
    </xf>
    <xf numFmtId="169" fontId="16" fillId="0" borderId="16" xfId="0" applyNumberFormat="1" applyFont="1" applyBorder="1"/>
    <xf numFmtId="169" fontId="16" fillId="0" borderId="16" xfId="0" applyNumberFormat="1" applyFont="1" applyBorder="1" applyAlignment="1">
      <alignment horizontal="center"/>
    </xf>
    <xf numFmtId="169" fontId="20" fillId="0" borderId="16" xfId="0" applyNumberFormat="1" applyFont="1" applyBorder="1"/>
    <xf numFmtId="169" fontId="9" fillId="6" borderId="8" xfId="0" applyNumberFormat="1" applyFont="1" applyFill="1" applyBorder="1" applyAlignment="1">
      <alignment horizontal="right" wrapText="1" shrinkToFit="1"/>
    </xf>
    <xf numFmtId="169" fontId="2" fillId="0" borderId="8" xfId="0" applyNumberFormat="1" applyFont="1" applyBorder="1" applyAlignment="1">
      <alignment horizontal="right" wrapText="1" shrinkToFit="1"/>
    </xf>
    <xf numFmtId="169" fontId="9" fillId="3" borderId="8" xfId="0" applyNumberFormat="1" applyFont="1" applyFill="1" applyBorder="1" applyAlignment="1">
      <alignment horizontal="right" wrapText="1" shrinkToFit="1"/>
    </xf>
    <xf numFmtId="169" fontId="2" fillId="0" borderId="16" xfId="0" applyNumberFormat="1" applyFont="1" applyBorder="1" applyAlignment="1">
      <alignment horizontal="right" wrapText="1" shrinkToFit="1"/>
    </xf>
    <xf numFmtId="169" fontId="9" fillId="3" borderId="11" xfId="0" applyNumberFormat="1" applyFont="1" applyFill="1" applyBorder="1" applyAlignment="1">
      <alignment horizontal="right" wrapText="1" shrinkToFit="1"/>
    </xf>
    <xf numFmtId="169" fontId="2" fillId="0" borderId="38" xfId="0" applyNumberFormat="1" applyFont="1" applyBorder="1" applyAlignment="1">
      <alignment horizontal="right" wrapText="1" shrinkToFit="1"/>
    </xf>
    <xf numFmtId="169" fontId="2" fillId="0" borderId="16" xfId="0" applyNumberFormat="1" applyFont="1" applyBorder="1" applyAlignment="1">
      <alignment horizontal="center"/>
    </xf>
    <xf numFmtId="0" fontId="9" fillId="0" borderId="7" xfId="0" applyFont="1" applyBorder="1" applyAlignment="1">
      <alignment horizontal="left" vertical="top" wrapText="1" shrinkToFit="1"/>
    </xf>
    <xf numFmtId="0" fontId="9" fillId="0" borderId="8" xfId="0" applyFont="1" applyBorder="1" applyAlignment="1">
      <alignment vertical="top" wrapText="1" shrinkToFit="1"/>
    </xf>
    <xf numFmtId="4" fontId="9" fillId="0" borderId="8" xfId="0" applyNumberFormat="1" applyFont="1" applyBorder="1" applyAlignment="1">
      <alignment horizontal="right" wrapText="1" shrinkToFit="1"/>
    </xf>
    <xf numFmtId="4" fontId="9" fillId="0" borderId="8" xfId="0" applyNumberFormat="1" applyFont="1" applyBorder="1" applyAlignment="1">
      <alignment horizontal="center" wrapText="1" shrinkToFit="1"/>
    </xf>
    <xf numFmtId="0" fontId="2" fillId="0" borderId="16" xfId="0" applyFont="1" applyBorder="1" applyAlignment="1">
      <alignment horizontal="justify" vertical="top"/>
    </xf>
    <xf numFmtId="167" fontId="2" fillId="7" borderId="16" xfId="0" applyNumberFormat="1" applyFont="1" applyFill="1" applyBorder="1" applyAlignment="1">
      <alignment horizontal="center"/>
    </xf>
    <xf numFmtId="0" fontId="16" fillId="7" borderId="16" xfId="0" applyFont="1" applyFill="1" applyBorder="1" applyAlignment="1">
      <alignment horizontal="center"/>
    </xf>
    <xf numFmtId="4" fontId="2" fillId="7" borderId="16" xfId="0" applyNumberFormat="1" applyFont="1" applyFill="1" applyBorder="1" applyAlignment="1" applyProtection="1">
      <alignment horizontal="right" wrapText="1" shrinkToFit="1"/>
      <protection locked="0"/>
    </xf>
    <xf numFmtId="0" fontId="2" fillId="0" borderId="16" xfId="0" applyFont="1" applyBorder="1" applyAlignment="1">
      <alignment horizontal="left" vertical="top" wrapText="1" indent="1"/>
    </xf>
    <xf numFmtId="0" fontId="0" fillId="8" borderId="0" xfId="0" applyFill="1" applyAlignment="1">
      <alignment vertical="top" wrapText="1" shrinkToFit="1"/>
    </xf>
    <xf numFmtId="164" fontId="0" fillId="8" borderId="0" xfId="0" applyNumberFormat="1" applyFill="1" applyAlignment="1">
      <alignment vertical="top" wrapText="1" shrinkToFit="1"/>
    </xf>
    <xf numFmtId="0" fontId="2" fillId="0" borderId="16" xfId="0" applyFont="1" applyBorder="1" applyAlignment="1">
      <alignment horizontal="justify" wrapText="1"/>
    </xf>
    <xf numFmtId="0" fontId="9" fillId="0" borderId="16" xfId="0" applyFont="1" applyBorder="1"/>
    <xf numFmtId="0" fontId="9" fillId="6" borderId="8" xfId="0" applyFont="1" applyFill="1" applyBorder="1" applyAlignment="1">
      <alignment wrapText="1" shrinkToFit="1"/>
    </xf>
    <xf numFmtId="0" fontId="2" fillId="0" borderId="8" xfId="0" applyFont="1" applyBorder="1" applyAlignment="1">
      <alignment wrapText="1" shrinkToFit="1"/>
    </xf>
    <xf numFmtId="0" fontId="9" fillId="3" borderId="8" xfId="0" applyFont="1" applyFill="1" applyBorder="1" applyAlignment="1">
      <alignment wrapText="1" shrinkToFit="1"/>
    </xf>
    <xf numFmtId="0" fontId="2" fillId="0" borderId="16" xfId="0" applyFont="1" applyBorder="1" applyAlignment="1">
      <alignment wrapText="1" shrinkToFit="1"/>
    </xf>
    <xf numFmtId="0" fontId="9" fillId="3" borderId="11" xfId="0" applyFont="1" applyFill="1" applyBorder="1" applyAlignment="1">
      <alignment wrapText="1" shrinkToFit="1"/>
    </xf>
    <xf numFmtId="0" fontId="2" fillId="0" borderId="38" xfId="0" applyFont="1" applyBorder="1" applyAlignment="1">
      <alignment wrapText="1" shrinkToFit="1"/>
    </xf>
    <xf numFmtId="0" fontId="9" fillId="7" borderId="16" xfId="0" applyFont="1" applyFill="1" applyBorder="1"/>
    <xf numFmtId="0" fontId="9" fillId="0" borderId="16" xfId="0" applyFont="1" applyBorder="1" applyAlignment="1">
      <alignment wrapText="1" shrinkToFit="1"/>
    </xf>
    <xf numFmtId="0" fontId="2" fillId="0" borderId="16" xfId="3" applyFont="1" applyBorder="1" applyAlignment="1">
      <alignment horizontal="justify" wrapText="1"/>
    </xf>
    <xf numFmtId="0" fontId="9" fillId="6" borderId="41" xfId="0" applyFont="1" applyFill="1" applyBorder="1" applyAlignment="1">
      <alignment wrapText="1" shrinkToFit="1"/>
    </xf>
    <xf numFmtId="0" fontId="9" fillId="0" borderId="9" xfId="0" applyFont="1" applyBorder="1" applyAlignment="1">
      <alignment wrapText="1" shrinkToFit="1"/>
    </xf>
    <xf numFmtId="0" fontId="9" fillId="0" borderId="8" xfId="0" applyFont="1" applyBorder="1" applyAlignment="1">
      <alignment wrapText="1" shrinkToFit="1"/>
    </xf>
    <xf numFmtId="9" fontId="0" fillId="0" borderId="0" xfId="20" applyFont="1" applyAlignment="1">
      <alignment wrapText="1" shrinkToFit="1"/>
    </xf>
    <xf numFmtId="164" fontId="10" fillId="0" borderId="0" xfId="0" applyNumberFormat="1" applyFont="1" applyAlignment="1">
      <alignment wrapText="1" shrinkToFit="1"/>
    </xf>
    <xf numFmtId="164" fontId="10" fillId="0" borderId="0" xfId="0" applyNumberFormat="1" applyFont="1" applyAlignment="1">
      <alignment horizontal="right" wrapText="1" shrinkToFit="1"/>
    </xf>
    <xf numFmtId="0" fontId="26" fillId="0" borderId="16" xfId="0" applyFont="1" applyBorder="1" applyAlignment="1">
      <alignment horizontal="left" vertical="top" wrapText="1" indent="1"/>
    </xf>
    <xf numFmtId="0" fontId="16" fillId="0" borderId="16" xfId="0" applyFont="1" applyBorder="1" applyAlignment="1">
      <alignment wrapText="1"/>
    </xf>
    <xf numFmtId="164" fontId="21" fillId="5" borderId="13" xfId="0" applyNumberFormat="1" applyFont="1" applyFill="1" applyBorder="1" applyAlignment="1">
      <alignment horizontal="center" vertical="center" wrapText="1"/>
    </xf>
    <xf numFmtId="164" fontId="21" fillId="5" borderId="27" xfId="0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164" fontId="21" fillId="5" borderId="13" xfId="0" applyNumberFormat="1" applyFont="1" applyFill="1" applyBorder="1" applyAlignment="1">
      <alignment horizontal="center" wrapText="1"/>
    </xf>
    <xf numFmtId="164" fontId="21" fillId="5" borderId="14" xfId="0" applyNumberFormat="1" applyFont="1" applyFill="1" applyBorder="1" applyAlignment="1">
      <alignment horizontal="center" wrapText="1"/>
    </xf>
    <xf numFmtId="0" fontId="9" fillId="4" borderId="25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</cellXfs>
  <cellStyles count="21">
    <cellStyle name="_05017-4-60-93-REV1" xfId="4" xr:uid="{00000000-0005-0000-0000-000031000000}"/>
    <cellStyle name="_PE_93_942" xfId="5" xr:uid="{00000000-0005-0000-0000-000032000000}"/>
    <cellStyle name="Artigo" xfId="7" xr:uid="{1548045F-426A-4C4D-BCC0-EFAC72E404E2}"/>
    <cellStyle name="Capítulo 2 Designação" xfId="8" xr:uid="{99B1730A-8363-42FB-91F0-CB6986B5ACF3}"/>
    <cellStyle name="Euro" xfId="6" xr:uid="{00000000-0005-0000-0000-000033000000}"/>
    <cellStyle name="Euro 2" xfId="16" xr:uid="{00000000-0005-0000-0000-00003E000000}"/>
    <cellStyle name="Normal" xfId="0" builtinId="0"/>
    <cellStyle name="Normal 2" xfId="1" xr:uid="{00000000-0005-0000-0000-000001000000}"/>
    <cellStyle name="Normal 2 2" xfId="10" xr:uid="{374C8212-8E2C-4599-829C-6B4788B23206}"/>
    <cellStyle name="Normal 2 2 2" xfId="17" xr:uid="{00000000-0005-0000-0000-000040000000}"/>
    <cellStyle name="Normal 3" xfId="2" xr:uid="{00000000-0005-0000-0000-000002000000}"/>
    <cellStyle name="Normal 4" xfId="3" xr:uid="{00000000-0005-0000-0000-000034000000}"/>
    <cellStyle name="Normal 4 2" xfId="18" xr:uid="{00000000-0005-0000-0000-000041000000}"/>
    <cellStyle name="Normal 42" xfId="11" xr:uid="{CF059426-6023-49AC-9A22-F1A3B175164A}"/>
    <cellStyle name="Normal 43" xfId="12" xr:uid="{34E465E8-D128-4B24-9C16-52BB98FE4063}"/>
    <cellStyle name="Normal 44" xfId="13" xr:uid="{7D82EF58-41B6-4F94-82D1-43848EDF3584}"/>
    <cellStyle name="Normal 45" xfId="14" xr:uid="{CCE34021-00A4-4F45-869D-7D81335600FD}"/>
    <cellStyle name="Normal 5" xfId="15" xr:uid="{00000000-0005-0000-0000-00003F000000}"/>
    <cellStyle name="Normal 6" xfId="9" xr:uid="{60985A8D-C40D-4DD9-9983-1E23361E5BFB}"/>
    <cellStyle name="Normal 8" xfId="19" xr:uid="{0BD62F1A-4496-49B8-836B-AB9D3D15CD8F}"/>
    <cellStyle name="Percent" xfId="20" builtinId="5"/>
  </cellStyles>
  <dxfs count="3"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EF5656"/>
      <color rgb="FF2D3543"/>
      <color rgb="FF2B2B43"/>
      <color rgb="FF525252"/>
      <color rgb="FF2B3543"/>
      <color rgb="FFD5D7DA"/>
      <color rgb="FF5E06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209549</xdr:colOff>
      <xdr:row>7</xdr:row>
      <xdr:rowOff>38101</xdr:rowOff>
    </xdr:from>
    <xdr:to>
      <xdr:col>8</xdr:col>
      <xdr:colOff>438150</xdr:colOff>
      <xdr:row>12</xdr:row>
      <xdr:rowOff>76201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26EC10A8-76EE-487F-B531-9D1CB8BAF101}"/>
            </a:ext>
          </a:extLst>
        </xdr:cNvPr>
        <xdr:cNvSpPr txBox="1"/>
      </xdr:nvSpPr>
      <xdr:spPr>
        <a:xfrm>
          <a:off x="7724774" y="1857376"/>
          <a:ext cx="1828801" cy="64770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100"/>
            <a:t>SE ESTAS CÉLULAS FOREM DIFERENTES DE ZERO</a:t>
          </a:r>
          <a:r>
            <a:rPr lang="pt-PT" sz="1100" baseline="0"/>
            <a:t> EXISTE UM ERRO NA FOLHA</a:t>
          </a:r>
          <a:endParaRPr lang="pt-PT" sz="1100"/>
        </a:p>
      </xdr:txBody>
    </xdr:sp>
    <xdr:clientData/>
  </xdr:twoCellAnchor>
  <xdr:twoCellAnchor>
    <xdr:from>
      <xdr:col>4</xdr:col>
      <xdr:colOff>247650</xdr:colOff>
      <xdr:row>9</xdr:row>
      <xdr:rowOff>57151</xdr:rowOff>
    </xdr:from>
    <xdr:to>
      <xdr:col>5</xdr:col>
      <xdr:colOff>209549</xdr:colOff>
      <xdr:row>9</xdr:row>
      <xdr:rowOff>76200</xdr:rowOff>
    </xdr:to>
    <xdr:cxnSp macro="">
      <xdr:nvCxnSpPr>
        <xdr:cNvPr id="4" name="Conexão reta unidirecional 3">
          <a:extLst>
            <a:ext uri="{FF2B5EF4-FFF2-40B4-BE49-F238E27FC236}">
              <a16:creationId xmlns:a16="http://schemas.microsoft.com/office/drawing/2014/main" id="{F6930050-E271-4F75-8BD2-F5E1CBAA946E}"/>
            </a:ext>
          </a:extLst>
        </xdr:cNvPr>
        <xdr:cNvCxnSpPr>
          <a:stCxn id="6" idx="1"/>
          <a:endCxn id="2" idx="1"/>
        </xdr:cNvCxnSpPr>
      </xdr:nvCxnSpPr>
      <xdr:spPr>
        <a:xfrm flipV="1">
          <a:off x="7229475" y="2181226"/>
          <a:ext cx="495299" cy="19049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76200</xdr:colOff>
      <xdr:row>7</xdr:row>
      <xdr:rowOff>104775</xdr:rowOff>
    </xdr:from>
    <xdr:to>
      <xdr:col>4</xdr:col>
      <xdr:colOff>247650</xdr:colOff>
      <xdr:row>12</xdr:row>
      <xdr:rowOff>47625</xdr:rowOff>
    </xdr:to>
    <xdr:sp macro="" textlink="">
      <xdr:nvSpPr>
        <xdr:cNvPr id="6" name="Chaveta à direita 5">
          <a:extLst>
            <a:ext uri="{FF2B5EF4-FFF2-40B4-BE49-F238E27FC236}">
              <a16:creationId xmlns:a16="http://schemas.microsoft.com/office/drawing/2014/main" id="{70E6C7B5-0B46-4855-B812-0A29B1A1B3CC}"/>
            </a:ext>
          </a:extLst>
        </xdr:cNvPr>
        <xdr:cNvSpPr/>
      </xdr:nvSpPr>
      <xdr:spPr>
        <a:xfrm>
          <a:off x="7058025" y="1924050"/>
          <a:ext cx="171450" cy="5524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7"/>
  <sheetViews>
    <sheetView showGridLines="0" zoomScaleNormal="100" workbookViewId="0">
      <selection sqref="A1:C1"/>
    </sheetView>
  </sheetViews>
  <sheetFormatPr defaultRowHeight="10.35"/>
  <cols>
    <col min="1" max="1" width="11.53515625" style="4" customWidth="1"/>
    <col min="2" max="2" width="74.69140625" style="1" customWidth="1"/>
    <col min="3" max="3" width="20" style="57" customWidth="1"/>
  </cols>
  <sheetData>
    <row r="1" spans="1:3" s="2" customFormat="1" ht="18" customHeight="1">
      <c r="A1" s="205" t="s">
        <v>93</v>
      </c>
      <c r="B1" s="205"/>
      <c r="C1" s="205"/>
    </row>
    <row r="2" spans="1:3" s="2" customFormat="1" ht="18" customHeight="1">
      <c r="A2" s="206" t="s">
        <v>23</v>
      </c>
      <c r="B2" s="206"/>
      <c r="C2" s="206"/>
    </row>
    <row r="3" spans="1:3" s="2" customFormat="1" ht="18" customHeight="1">
      <c r="A3" s="206" t="s">
        <v>24</v>
      </c>
      <c r="B3" s="206"/>
      <c r="C3" s="206"/>
    </row>
    <row r="4" spans="1:3" s="2" customFormat="1" ht="12" customHeight="1">
      <c r="A4" s="18"/>
      <c r="B4" s="47"/>
      <c r="C4" s="55"/>
    </row>
    <row r="5" spans="1:3" s="1" customFormat="1" ht="22.5" customHeight="1">
      <c r="A5" s="115"/>
      <c r="B5" s="116" t="s">
        <v>41</v>
      </c>
      <c r="C5" s="117" t="e">
        <f>C7+C10+C14+C20+C23+C27+C30</f>
        <v>#REF!</v>
      </c>
    </row>
    <row r="6" spans="1:3" s="1" customFormat="1" ht="11.35">
      <c r="A6" s="5"/>
      <c r="B6" s="6"/>
      <c r="C6" s="7"/>
    </row>
    <row r="7" spans="1:3" s="1" customFormat="1" ht="11.7">
      <c r="A7" s="73" t="e">
        <f>#REF!</f>
        <v>#REF!</v>
      </c>
      <c r="B7" s="71" t="e">
        <f>#REF!</f>
        <v>#REF!</v>
      </c>
      <c r="C7" s="72" t="e">
        <f>SUM(C8:C8)</f>
        <v>#REF!</v>
      </c>
    </row>
    <row r="8" spans="1:3" s="1" customFormat="1" ht="11.35">
      <c r="A8" s="9" t="e">
        <f>#REF!</f>
        <v>#REF!</v>
      </c>
      <c r="B8" s="10" t="e">
        <f>#REF!</f>
        <v>#REF!</v>
      </c>
      <c r="C8" s="56" t="e">
        <f>#REF!</f>
        <v>#REF!</v>
      </c>
    </row>
    <row r="9" spans="1:3" s="1" customFormat="1" ht="11.35">
      <c r="A9" s="5"/>
      <c r="B9" s="8"/>
      <c r="C9" s="7"/>
    </row>
    <row r="10" spans="1:3" s="1" customFormat="1" ht="11.7">
      <c r="A10" s="73" t="e">
        <f>#REF!</f>
        <v>#REF!</v>
      </c>
      <c r="B10" s="71" t="e">
        <f>#REF!</f>
        <v>#REF!</v>
      </c>
      <c r="C10" s="72" t="e">
        <f>SUM(C11:C13)</f>
        <v>#REF!</v>
      </c>
    </row>
    <row r="11" spans="1:3" s="1" customFormat="1" ht="11.35">
      <c r="A11" s="9" t="e">
        <f>#REF!</f>
        <v>#REF!</v>
      </c>
      <c r="B11" s="10" t="e">
        <f>#REF!</f>
        <v>#REF!</v>
      </c>
      <c r="C11" s="56" t="e">
        <f>#REF!</f>
        <v>#REF!</v>
      </c>
    </row>
    <row r="12" spans="1:3" s="1" customFormat="1" ht="11.35">
      <c r="A12" s="97" t="e">
        <f>#REF!</f>
        <v>#REF!</v>
      </c>
      <c r="B12" s="98" t="e">
        <f>#REF!</f>
        <v>#REF!</v>
      </c>
      <c r="C12" s="99" t="e">
        <f>#REF!</f>
        <v>#REF!</v>
      </c>
    </row>
    <row r="13" spans="1:3" s="1" customFormat="1" ht="11.35">
      <c r="A13" s="97"/>
      <c r="B13" s="98"/>
      <c r="C13" s="99"/>
    </row>
    <row r="14" spans="1:3" s="1" customFormat="1" ht="11.7">
      <c r="A14" s="73" t="e">
        <f>#REF!</f>
        <v>#REF!</v>
      </c>
      <c r="B14" s="71" t="e">
        <f>#REF!</f>
        <v>#REF!</v>
      </c>
      <c r="C14" s="72" t="e">
        <f>SUM(C15:C18)</f>
        <v>#REF!</v>
      </c>
    </row>
    <row r="15" spans="1:3" s="1" customFormat="1" ht="11.35">
      <c r="A15" s="9" t="e">
        <f>#REF!</f>
        <v>#REF!</v>
      </c>
      <c r="B15" s="10" t="e">
        <f>#REF!</f>
        <v>#REF!</v>
      </c>
      <c r="C15" s="56" t="e">
        <f>#REF!</f>
        <v>#REF!</v>
      </c>
    </row>
    <row r="16" spans="1:3" s="1" customFormat="1" ht="11.35">
      <c r="A16" s="9" t="e">
        <f>#REF!</f>
        <v>#REF!</v>
      </c>
      <c r="B16" s="10" t="e">
        <f>#REF!</f>
        <v>#REF!</v>
      </c>
      <c r="C16" s="56" t="e">
        <f>#REF!</f>
        <v>#REF!</v>
      </c>
    </row>
    <row r="17" spans="1:7" s="1" customFormat="1" ht="11.35">
      <c r="A17" s="97" t="e">
        <f>#REF!</f>
        <v>#REF!</v>
      </c>
      <c r="B17" s="98" t="e">
        <f>#REF!</f>
        <v>#REF!</v>
      </c>
      <c r="C17" s="99" t="e">
        <f>#REF!</f>
        <v>#REF!</v>
      </c>
    </row>
    <row r="18" spans="1:7" s="1" customFormat="1" ht="11.35">
      <c r="A18" s="97" t="e">
        <f>#REF!</f>
        <v>#REF!</v>
      </c>
      <c r="B18" s="98" t="e">
        <f>#REF!</f>
        <v>#REF!</v>
      </c>
      <c r="C18" s="99" t="e">
        <f>#REF!</f>
        <v>#REF!</v>
      </c>
    </row>
    <row r="19" spans="1:7" s="1" customFormat="1" ht="11.35">
      <c r="A19" s="97"/>
      <c r="B19" s="98"/>
      <c r="C19" s="99"/>
    </row>
    <row r="20" spans="1:7" s="1" customFormat="1" ht="11.7">
      <c r="A20" s="73" t="e">
        <f>#REF!</f>
        <v>#REF!</v>
      </c>
      <c r="B20" s="71" t="e">
        <f>#REF!</f>
        <v>#REF!</v>
      </c>
      <c r="C20" s="72" t="e">
        <f>SUM(C21)</f>
        <v>#REF!</v>
      </c>
    </row>
    <row r="21" spans="1:7" s="1" customFormat="1" ht="11.35">
      <c r="A21" s="9" t="e">
        <f>#REF!</f>
        <v>#REF!</v>
      </c>
      <c r="B21" s="10" t="e">
        <f>#REF!</f>
        <v>#REF!</v>
      </c>
      <c r="C21" s="56" t="e">
        <f>#REF!</f>
        <v>#REF!</v>
      </c>
    </row>
    <row r="22" spans="1:7" s="1" customFormat="1" ht="11.35">
      <c r="A22" s="97"/>
      <c r="B22" s="98"/>
      <c r="C22" s="99"/>
    </row>
    <row r="23" spans="1:7" s="1" customFormat="1" ht="11.7">
      <c r="A23" s="73" t="e">
        <f>#REF!</f>
        <v>#REF!</v>
      </c>
      <c r="B23" s="71" t="e">
        <f>#REF!</f>
        <v>#REF!</v>
      </c>
      <c r="C23" s="72" t="e">
        <f>SUM(C24:C25)</f>
        <v>#REF!</v>
      </c>
      <c r="E23" s="57"/>
      <c r="G23" s="57"/>
    </row>
    <row r="24" spans="1:7" s="1" customFormat="1" ht="11.35">
      <c r="A24" s="9" t="e">
        <f>#REF!</f>
        <v>#REF!</v>
      </c>
      <c r="B24" s="10" t="e">
        <f>#REF!</f>
        <v>#REF!</v>
      </c>
      <c r="C24" s="56" t="e">
        <f>#REF!</f>
        <v>#REF!</v>
      </c>
    </row>
    <row r="25" spans="1:7" s="1" customFormat="1" ht="11.35">
      <c r="A25" s="97" t="e">
        <f>#REF!</f>
        <v>#REF!</v>
      </c>
      <c r="B25" s="98" t="e">
        <f>#REF!</f>
        <v>#REF!</v>
      </c>
      <c r="C25" s="99" t="e">
        <f>#REF!</f>
        <v>#REF!</v>
      </c>
    </row>
    <row r="26" spans="1:7" s="1" customFormat="1" ht="11.35">
      <c r="A26" s="97"/>
      <c r="B26" s="98"/>
      <c r="C26" s="99"/>
    </row>
    <row r="27" spans="1:7" s="1" customFormat="1" ht="11.7">
      <c r="A27" s="73" t="e">
        <f>#REF!</f>
        <v>#REF!</v>
      </c>
      <c r="B27" s="71" t="e">
        <f>#REF!</f>
        <v>#REF!</v>
      </c>
      <c r="C27" s="72" t="e">
        <f>SUM(C28)</f>
        <v>#REF!</v>
      </c>
    </row>
    <row r="28" spans="1:7" s="1" customFormat="1" ht="11.35">
      <c r="A28" s="9" t="e">
        <f>#REF!</f>
        <v>#REF!</v>
      </c>
      <c r="B28" s="10" t="e">
        <f>#REF!</f>
        <v>#REF!</v>
      </c>
      <c r="C28" s="56" t="e">
        <f>#REF!</f>
        <v>#REF!</v>
      </c>
    </row>
    <row r="29" spans="1:7" s="1" customFormat="1" ht="11.35">
      <c r="A29" s="97"/>
      <c r="B29" s="98"/>
      <c r="C29" s="99"/>
    </row>
    <row r="30" spans="1:7" s="1" customFormat="1" ht="11.7">
      <c r="A30" s="73" t="e">
        <f>#REF!</f>
        <v>#REF!</v>
      </c>
      <c r="B30" s="71" t="e">
        <f>#REF!</f>
        <v>#REF!</v>
      </c>
      <c r="C30" s="72" t="e">
        <f>SUM(C31:C33)</f>
        <v>#REF!</v>
      </c>
    </row>
    <row r="31" spans="1:7" s="1" customFormat="1" ht="11.35">
      <c r="A31" s="9" t="e">
        <f>#REF!</f>
        <v>#REF!</v>
      </c>
      <c r="B31" s="10" t="e">
        <f>#REF!</f>
        <v>#REF!</v>
      </c>
      <c r="C31" s="56" t="e">
        <f>#REF!</f>
        <v>#REF!</v>
      </c>
    </row>
    <row r="32" spans="1:7" s="1" customFormat="1" ht="11.35">
      <c r="A32" s="97" t="e">
        <f>#REF!</f>
        <v>#REF!</v>
      </c>
      <c r="B32" s="98" t="e">
        <f>#REF!</f>
        <v>#REF!</v>
      </c>
      <c r="C32" s="99" t="e">
        <f>#REF!</f>
        <v>#REF!</v>
      </c>
    </row>
    <row r="33" spans="1:3" s="1" customFormat="1" ht="11.35">
      <c r="A33" s="97">
        <v>7.3</v>
      </c>
      <c r="B33" s="98" t="e">
        <f>#REF!</f>
        <v>#REF!</v>
      </c>
      <c r="C33" s="99" t="e">
        <f>#REF!</f>
        <v>#REF!</v>
      </c>
    </row>
    <row r="34" spans="1:3" s="1" customFormat="1" ht="11.35">
      <c r="A34" s="97"/>
      <c r="B34" s="98"/>
      <c r="C34" s="99"/>
    </row>
    <row r="35" spans="1:3" s="1" customFormat="1" ht="11.7">
      <c r="A35" s="100"/>
      <c r="B35" s="101"/>
      <c r="C35" s="102"/>
    </row>
    <row r="37" spans="1:3">
      <c r="B37" s="182" t="s">
        <v>60</v>
      </c>
      <c r="C37" s="183" t="e">
        <f>Orçamento!#REF!+Orçamento!#REF!+Orçamento!#REF!+Orçamento!#REF!+Orçamento!#REF!+Orçamento!#REF!+Orçamento!#REF!+Orçamento!#REF!+Orçamento!#REF!</f>
        <v>#REF!</v>
      </c>
    </row>
  </sheetData>
  <mergeCells count="3">
    <mergeCell ref="A1:C1"/>
    <mergeCell ref="A2:C2"/>
    <mergeCell ref="A3:C3"/>
  </mergeCells>
  <printOptions horizontalCentered="1"/>
  <pageMargins left="0.70866141732283472" right="0.70866141732283472" top="1.3385826771653544" bottom="0.94488188976377963" header="0.31496062992125984" footer="0.19685039370078741"/>
  <pageSetup paperSize="9" fitToHeight="0" orientation="portrait" r:id="rId1"/>
  <headerFooter>
    <oddHeader>&amp;L&amp;G</oddHeader>
    <oddFooter xml:space="preserve">&amp;L&amp;"Arial,Normal"&amp;7&amp;KEF5656&amp;D    &amp;K2D3543&amp;F    &amp;KEF5656
Pg. &amp;P / &amp;N    &amp;K2D3543&amp;A      &amp;8&amp;K01+027
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6A668-0BD6-4938-85A0-573381E0A2E0}">
  <sheetPr>
    <pageSetUpPr fitToPage="1"/>
  </sheetPr>
  <dimension ref="A1:J176"/>
  <sheetViews>
    <sheetView showGridLines="0" tabSelected="1" topLeftCell="A47" zoomScale="133" zoomScaleNormal="100" zoomScaleSheetLayoutView="115" workbookViewId="0">
      <selection activeCell="E131" sqref="E131"/>
    </sheetView>
  </sheetViews>
  <sheetFormatPr defaultColWidth="8.69140625" defaultRowHeight="10.35" outlineLevelRow="1"/>
  <cols>
    <col min="1" max="1" width="11.53515625" style="58" customWidth="1"/>
    <col min="2" max="2" width="59.3828125" style="1" customWidth="1"/>
    <col min="3" max="3" width="13.3828125" style="44" customWidth="1"/>
    <col min="4" max="4" width="5.3046875" style="45" customWidth="1"/>
    <col min="5" max="5" width="14.69140625" style="46" customWidth="1"/>
    <col min="6" max="6" width="14.69140625" style="105" customWidth="1"/>
    <col min="7" max="8" width="17.69140625" style="46" customWidth="1"/>
    <col min="9" max="9" width="136" style="1" customWidth="1"/>
    <col min="10" max="11" width="9.69140625" style="1" bestFit="1" customWidth="1"/>
    <col min="12" max="16384" width="8.69140625" style="1"/>
  </cols>
  <sheetData>
    <row r="1" spans="1:9" s="2" customFormat="1" ht="18" customHeight="1">
      <c r="A1" s="205" t="str">
        <f>RESUMO!A1</f>
        <v>Apartamento Amadora</v>
      </c>
      <c r="B1" s="205"/>
      <c r="C1" s="205"/>
      <c r="D1" s="205"/>
      <c r="E1" s="205"/>
      <c r="F1" s="205"/>
      <c r="G1" s="205"/>
      <c r="H1" s="205"/>
    </row>
    <row r="2" spans="1:9" s="2" customFormat="1" ht="18" customHeight="1">
      <c r="A2" s="206" t="s">
        <v>23</v>
      </c>
      <c r="B2" s="206"/>
      <c r="C2" s="206"/>
      <c r="D2" s="206"/>
      <c r="E2" s="206"/>
      <c r="F2" s="206"/>
      <c r="G2" s="206"/>
      <c r="H2" s="206"/>
    </row>
    <row r="3" spans="1:9" s="2" customFormat="1" ht="18" customHeight="1">
      <c r="A3" s="206" t="s">
        <v>29</v>
      </c>
      <c r="B3" s="206"/>
      <c r="C3" s="206"/>
      <c r="D3" s="206"/>
      <c r="E3" s="206"/>
      <c r="F3" s="206"/>
      <c r="G3" s="206"/>
      <c r="H3" s="206"/>
    </row>
    <row r="4" spans="1:9" s="2" customFormat="1" ht="12" customHeight="1">
      <c r="A4" s="18"/>
      <c r="B4" s="47"/>
      <c r="C4" s="55"/>
      <c r="F4" s="103"/>
      <c r="I4" s="47"/>
    </row>
    <row r="5" spans="1:9" s="2" customFormat="1" ht="12" customHeight="1">
      <c r="A5" s="106"/>
      <c r="B5" s="107"/>
      <c r="C5" s="108"/>
      <c r="D5" s="108"/>
      <c r="E5" s="207" t="s">
        <v>8</v>
      </c>
      <c r="F5" s="207"/>
      <c r="G5" s="207" t="s">
        <v>2</v>
      </c>
      <c r="H5" s="208"/>
      <c r="I5" s="203" t="s">
        <v>43</v>
      </c>
    </row>
    <row r="6" spans="1:9" s="3" customFormat="1" ht="29.25" customHeight="1">
      <c r="A6" s="109" t="s">
        <v>0</v>
      </c>
      <c r="B6" s="110" t="s">
        <v>1</v>
      </c>
      <c r="C6" s="111" t="s">
        <v>3</v>
      </c>
      <c r="D6" s="112" t="s">
        <v>4</v>
      </c>
      <c r="E6" s="113" t="s">
        <v>9</v>
      </c>
      <c r="F6" s="113" t="s">
        <v>5</v>
      </c>
      <c r="G6" s="113" t="s">
        <v>6</v>
      </c>
      <c r="H6" s="114" t="s">
        <v>7</v>
      </c>
      <c r="I6" s="204"/>
    </row>
    <row r="7" spans="1:9" ht="11.7">
      <c r="A7" s="32"/>
      <c r="B7" s="11"/>
      <c r="C7" s="12"/>
      <c r="D7" s="17"/>
      <c r="E7" s="13"/>
      <c r="F7" s="13" t="str">
        <f t="shared" ref="F7:F113" si="0">IF(D7=0,".",C7*E7)</f>
        <v>.</v>
      </c>
      <c r="G7" s="14"/>
      <c r="H7" s="15"/>
      <c r="I7" s="11"/>
    </row>
    <row r="8" spans="1:9" ht="11.7">
      <c r="A8" s="65"/>
      <c r="B8" s="66" t="s">
        <v>11</v>
      </c>
      <c r="C8" s="67"/>
      <c r="D8" s="68"/>
      <c r="E8" s="69"/>
      <c r="F8" s="69" t="str">
        <f t="shared" si="0"/>
        <v>.</v>
      </c>
      <c r="G8" s="69"/>
      <c r="H8" s="70"/>
      <c r="I8" s="66"/>
    </row>
    <row r="9" spans="1:9" ht="11.7">
      <c r="A9" s="32"/>
      <c r="B9" s="11"/>
      <c r="C9" s="12"/>
      <c r="D9" s="17"/>
      <c r="E9" s="13"/>
      <c r="F9" s="13" t="str">
        <f t="shared" si="0"/>
        <v>.</v>
      </c>
      <c r="G9" s="14"/>
      <c r="H9" s="15"/>
      <c r="I9" s="11"/>
    </row>
    <row r="10" spans="1:9" ht="22.7">
      <c r="A10" s="32">
        <v>1</v>
      </c>
      <c r="B10" s="38" t="s">
        <v>92</v>
      </c>
      <c r="C10" s="12"/>
      <c r="D10" s="17"/>
      <c r="E10" s="13"/>
      <c r="F10" s="13"/>
      <c r="G10" s="14"/>
      <c r="H10" s="15"/>
      <c r="I10" s="38"/>
    </row>
    <row r="11" spans="1:9" ht="11.7">
      <c r="A11" s="32"/>
      <c r="B11" s="38"/>
      <c r="C11" s="12"/>
      <c r="D11" s="17"/>
      <c r="E11" s="13"/>
      <c r="F11" s="13"/>
      <c r="G11" s="14"/>
      <c r="H11" s="15"/>
      <c r="I11" s="38"/>
    </row>
    <row r="12" spans="1:9" ht="11.7">
      <c r="A12" s="127">
        <v>1</v>
      </c>
      <c r="B12" s="128" t="s">
        <v>75</v>
      </c>
      <c r="C12" s="129"/>
      <c r="D12" s="130"/>
      <c r="E12" s="131"/>
      <c r="F12" s="131" t="str">
        <f t="shared" si="0"/>
        <v>.</v>
      </c>
      <c r="G12" s="131"/>
      <c r="H12" s="132"/>
      <c r="I12" s="128"/>
    </row>
    <row r="13" spans="1:9" ht="11.7">
      <c r="A13" s="133"/>
      <c r="B13" s="134"/>
      <c r="C13" s="135"/>
      <c r="D13" s="136"/>
      <c r="E13" s="137"/>
      <c r="F13" s="137" t="str">
        <f t="shared" si="0"/>
        <v>.</v>
      </c>
      <c r="G13" s="27"/>
      <c r="H13" s="28"/>
      <c r="I13" s="134"/>
    </row>
    <row r="14" spans="1:9" s="19" customFormat="1" ht="11.7">
      <c r="A14" s="34" t="s">
        <v>62</v>
      </c>
      <c r="B14" s="20" t="s">
        <v>59</v>
      </c>
      <c r="C14" s="21"/>
      <c r="D14" s="24"/>
      <c r="E14" s="41"/>
      <c r="F14" s="104" t="str">
        <f t="shared" ref="F14:F15" si="1">IF(D14=0,".",C14*E14)</f>
        <v>.</v>
      </c>
      <c r="G14" s="41"/>
      <c r="H14" s="40"/>
      <c r="I14" s="185"/>
    </row>
    <row r="15" spans="1:9" s="19" customFormat="1" ht="11.35">
      <c r="A15" s="35"/>
      <c r="B15" s="21"/>
      <c r="C15" s="163"/>
      <c r="D15" s="24"/>
      <c r="E15" s="26"/>
      <c r="F15" s="26" t="str">
        <f t="shared" si="1"/>
        <v>.</v>
      </c>
      <c r="G15" s="41"/>
      <c r="H15" s="40"/>
      <c r="I15" s="21"/>
    </row>
    <row r="16" spans="1:9" s="19" customFormat="1" ht="68">
      <c r="A16" s="33" t="s">
        <v>42</v>
      </c>
      <c r="B16" s="25" t="s">
        <v>105</v>
      </c>
      <c r="C16" s="164">
        <v>1</v>
      </c>
      <c r="D16" s="24" t="s">
        <v>10</v>
      </c>
      <c r="E16" s="159">
        <v>3000</v>
      </c>
      <c r="F16" s="26">
        <f>IF(D16=0,".",C16*E16)</f>
        <v>3000</v>
      </c>
      <c r="G16" s="41"/>
      <c r="H16" s="40"/>
      <c r="I16" s="184"/>
    </row>
    <row r="17" spans="1:9" s="19" customFormat="1" ht="11.35" outlineLevel="1">
      <c r="A17" s="33"/>
      <c r="B17" s="181"/>
      <c r="C17" s="164"/>
      <c r="D17" s="24"/>
      <c r="E17" s="159"/>
      <c r="F17" s="26"/>
      <c r="G17" s="41"/>
      <c r="H17" s="40"/>
      <c r="I17" s="184"/>
    </row>
    <row r="18" spans="1:9" s="19" customFormat="1" ht="11.35">
      <c r="A18" s="33"/>
      <c r="B18" s="22"/>
      <c r="C18" s="164"/>
      <c r="D18" s="24"/>
      <c r="E18" s="159"/>
      <c r="F18" s="26"/>
      <c r="G18" s="41"/>
      <c r="H18" s="40"/>
      <c r="I18" s="184"/>
    </row>
    <row r="19" spans="1:9" s="19" customFormat="1" ht="11.7">
      <c r="A19" s="78"/>
      <c r="B19" s="79" t="s">
        <v>28</v>
      </c>
      <c r="C19" s="165"/>
      <c r="D19" s="80"/>
      <c r="E19" s="27"/>
      <c r="F19" s="27" t="str">
        <f t="shared" ref="F19:F22" si="2">IF(D19=0,".",C19*E19)</f>
        <v>.</v>
      </c>
      <c r="G19" s="27">
        <f>SUM(F$7:F19)-SUM(G$7:G17)</f>
        <v>3000</v>
      </c>
      <c r="H19" s="81"/>
      <c r="I19" s="79"/>
    </row>
    <row r="20" spans="1:9" s="19" customFormat="1" ht="11.7">
      <c r="A20" s="78"/>
      <c r="B20" s="79"/>
      <c r="C20" s="165"/>
      <c r="D20" s="80"/>
      <c r="E20" s="27"/>
      <c r="F20" s="27"/>
      <c r="G20" s="27"/>
      <c r="H20" s="81"/>
      <c r="I20" s="79"/>
    </row>
    <row r="21" spans="1:9" s="19" customFormat="1" ht="11.7">
      <c r="A21" s="34" t="s">
        <v>76</v>
      </c>
      <c r="B21" s="20" t="s">
        <v>84</v>
      </c>
      <c r="C21" s="21"/>
      <c r="D21" s="24"/>
      <c r="E21" s="41"/>
      <c r="F21" s="104" t="str">
        <f t="shared" si="2"/>
        <v>.</v>
      </c>
      <c r="G21" s="41"/>
      <c r="H21" s="40"/>
      <c r="I21" s="185"/>
    </row>
    <row r="22" spans="1:9" s="19" customFormat="1" ht="11.35">
      <c r="A22" s="35"/>
      <c r="B22" s="21"/>
      <c r="C22" s="163"/>
      <c r="D22" s="24"/>
      <c r="E22" s="26"/>
      <c r="F22" s="26" t="str">
        <f t="shared" si="2"/>
        <v>.</v>
      </c>
      <c r="G22" s="41"/>
      <c r="H22" s="40"/>
      <c r="I22" s="21"/>
    </row>
    <row r="23" spans="1:9" s="19" customFormat="1" ht="34">
      <c r="A23" s="33" t="s">
        <v>77</v>
      </c>
      <c r="B23" s="22" t="s">
        <v>82</v>
      </c>
      <c r="C23" s="164">
        <v>1</v>
      </c>
      <c r="D23" s="24" t="s">
        <v>10</v>
      </c>
      <c r="E23" s="159">
        <v>1100</v>
      </c>
      <c r="F23" s="26">
        <f>IF(D23=0,".",C23*E23)</f>
        <v>1100</v>
      </c>
      <c r="G23" s="41"/>
      <c r="H23" s="40"/>
      <c r="I23" s="184"/>
    </row>
    <row r="24" spans="1:9" s="19" customFormat="1" ht="11.35">
      <c r="A24" s="33"/>
      <c r="B24" s="22"/>
      <c r="C24" s="164"/>
      <c r="D24" s="24"/>
      <c r="E24" s="159"/>
      <c r="F24" s="26"/>
      <c r="G24" s="41"/>
      <c r="H24" s="40"/>
      <c r="I24" s="184"/>
    </row>
    <row r="25" spans="1:9" s="19" customFormat="1" ht="34">
      <c r="A25" s="33" t="s">
        <v>99</v>
      </c>
      <c r="B25" s="22" t="s">
        <v>100</v>
      </c>
      <c r="C25" s="164">
        <v>1</v>
      </c>
      <c r="D25" s="24" t="s">
        <v>10</v>
      </c>
      <c r="E25" s="159">
        <v>1100</v>
      </c>
      <c r="F25" s="26">
        <f>IF(D25=0,".",C25*E25)</f>
        <v>1100</v>
      </c>
      <c r="G25" s="41"/>
      <c r="H25" s="40"/>
      <c r="I25" s="184"/>
    </row>
    <row r="26" spans="1:9" s="19" customFormat="1" ht="11.35">
      <c r="A26" s="33"/>
      <c r="B26" s="22"/>
      <c r="C26" s="164"/>
      <c r="D26" s="24"/>
      <c r="E26" s="159"/>
      <c r="F26" s="26"/>
      <c r="G26" s="41"/>
      <c r="H26" s="40"/>
      <c r="I26" s="184"/>
    </row>
    <row r="27" spans="1:9" s="19" customFormat="1" ht="11.7">
      <c r="A27" s="78"/>
      <c r="B27" s="79" t="s">
        <v>28</v>
      </c>
      <c r="C27" s="165"/>
      <c r="D27" s="80"/>
      <c r="E27" s="27"/>
      <c r="F27" s="27" t="str">
        <f t="shared" ref="F27" si="3">IF(D27=0,".",C27*E27)</f>
        <v>.</v>
      </c>
      <c r="G27" s="27">
        <f>SUM(F$7:F27)-SUM(G$7:G24)</f>
        <v>2200</v>
      </c>
      <c r="H27" s="81"/>
      <c r="I27" s="79"/>
    </row>
    <row r="28" spans="1:9" s="19" customFormat="1" ht="11.7">
      <c r="A28" s="78"/>
      <c r="B28" s="79"/>
      <c r="C28" s="165"/>
      <c r="D28" s="80"/>
      <c r="E28" s="27"/>
      <c r="F28" s="27"/>
      <c r="G28" s="27"/>
      <c r="H28" s="81"/>
      <c r="I28" s="79"/>
    </row>
    <row r="29" spans="1:9" s="19" customFormat="1" ht="11.35">
      <c r="A29" s="33"/>
      <c r="B29" s="22"/>
      <c r="C29" s="164"/>
      <c r="D29" s="24"/>
      <c r="E29" s="159"/>
      <c r="F29" s="26"/>
      <c r="G29" s="41"/>
      <c r="H29" s="40"/>
      <c r="I29" s="184"/>
    </row>
    <row r="30" spans="1:9" ht="11.7">
      <c r="A30" s="144" t="s">
        <v>37</v>
      </c>
      <c r="B30" s="145" t="str">
        <f>B12</f>
        <v>Demolições e Apoio de Construção Civil</v>
      </c>
      <c r="C30" s="166"/>
      <c r="D30" s="147"/>
      <c r="E30" s="148"/>
      <c r="F30" s="148" t="str">
        <f t="shared" si="0"/>
        <v>.</v>
      </c>
      <c r="G30" s="148"/>
      <c r="H30" s="149">
        <f>SUM(G$7:G30)-SUM(H$7:H29)</f>
        <v>5200</v>
      </c>
      <c r="I30" s="186"/>
    </row>
    <row r="31" spans="1:9" ht="11.7">
      <c r="A31" s="32"/>
      <c r="B31" s="11"/>
      <c r="C31" s="167"/>
      <c r="D31" s="17"/>
      <c r="E31" s="13"/>
      <c r="F31" s="13" t="str">
        <f t="shared" si="0"/>
        <v>.</v>
      </c>
      <c r="G31" s="14"/>
      <c r="H31" s="15"/>
      <c r="I31" s="187"/>
    </row>
    <row r="32" spans="1:9" ht="11.7">
      <c r="A32" s="127">
        <v>2</v>
      </c>
      <c r="B32" s="128" t="s">
        <v>45</v>
      </c>
      <c r="C32" s="168"/>
      <c r="D32" s="130"/>
      <c r="E32" s="131"/>
      <c r="F32" s="131" t="str">
        <f>IF(D32=0,".",C32*E32)</f>
        <v>.</v>
      </c>
      <c r="G32" s="131"/>
      <c r="H32" s="132"/>
      <c r="I32" s="188"/>
    </row>
    <row r="33" spans="1:10" s="19" customFormat="1" ht="11.7">
      <c r="A33" s="78"/>
      <c r="B33" s="79"/>
      <c r="C33" s="165"/>
      <c r="D33" s="80"/>
      <c r="E33" s="27"/>
      <c r="F33" s="27"/>
      <c r="G33" s="27"/>
      <c r="H33" s="81"/>
      <c r="I33" s="79"/>
    </row>
    <row r="34" spans="1:10" s="19" customFormat="1" ht="11.7">
      <c r="A34" s="34" t="s">
        <v>63</v>
      </c>
      <c r="B34" s="20" t="s">
        <v>64</v>
      </c>
      <c r="C34" s="163"/>
      <c r="D34" s="24"/>
      <c r="E34" s="41"/>
      <c r="F34" s="104" t="str">
        <f>IF(D34=0,".",C34*E34)</f>
        <v>.</v>
      </c>
      <c r="G34" s="41"/>
      <c r="H34" s="40"/>
      <c r="I34" s="185"/>
    </row>
    <row r="35" spans="1:10" s="19" customFormat="1" ht="11.35">
      <c r="A35" s="35"/>
      <c r="B35" s="21"/>
      <c r="C35" s="163"/>
      <c r="D35" s="24"/>
      <c r="E35" s="26"/>
      <c r="F35" s="26" t="str">
        <f>IF(D35=0,".",C35*E35)</f>
        <v>.</v>
      </c>
      <c r="G35" s="41"/>
      <c r="H35" s="40"/>
      <c r="I35" s="21"/>
    </row>
    <row r="36" spans="1:10" s="19" customFormat="1" ht="45.35">
      <c r="A36" s="33" t="s">
        <v>73</v>
      </c>
      <c r="B36" s="134" t="s">
        <v>85</v>
      </c>
      <c r="C36" s="164">
        <v>1</v>
      </c>
      <c r="D36" s="24" t="s">
        <v>10</v>
      </c>
      <c r="E36" s="159">
        <v>700</v>
      </c>
      <c r="F36" s="26">
        <f>IF(D36=0,".",C36*E36)</f>
        <v>700</v>
      </c>
      <c r="G36" s="41"/>
      <c r="H36" s="40"/>
      <c r="I36" s="189"/>
    </row>
    <row r="37" spans="1:10" s="19" customFormat="1" ht="11.35">
      <c r="A37" s="33"/>
      <c r="B37" s="177"/>
      <c r="C37" s="164"/>
      <c r="D37" s="24"/>
      <c r="E37" s="159"/>
      <c r="F37" s="26"/>
      <c r="G37" s="41"/>
      <c r="H37" s="40"/>
      <c r="I37" s="184"/>
    </row>
    <row r="38" spans="1:10" s="19" customFormat="1" ht="11.7">
      <c r="A38" s="78"/>
      <c r="B38" s="79" t="s">
        <v>28</v>
      </c>
      <c r="C38" s="165"/>
      <c r="D38" s="80"/>
      <c r="E38" s="27"/>
      <c r="F38" s="27" t="str">
        <f t="shared" ref="F38" si="4">IF(D38=0,".",C38*E38)</f>
        <v>.</v>
      </c>
      <c r="G38" s="27">
        <f>SUM(F$7:F38)-SUM(G$7:G37)</f>
        <v>700</v>
      </c>
      <c r="H38" s="81"/>
      <c r="I38" s="79"/>
    </row>
    <row r="39" spans="1:10" s="19" customFormat="1" ht="11.7">
      <c r="A39" s="78"/>
      <c r="B39" s="79"/>
      <c r="C39" s="165"/>
      <c r="D39" s="80"/>
      <c r="E39" s="27"/>
      <c r="F39" s="27"/>
      <c r="G39" s="27"/>
      <c r="H39" s="81"/>
      <c r="I39" s="79"/>
    </row>
    <row r="40" spans="1:10" s="19" customFormat="1" ht="11.7">
      <c r="A40" s="78"/>
      <c r="B40" s="79"/>
      <c r="C40" s="165"/>
      <c r="D40" s="80"/>
      <c r="E40" s="27"/>
      <c r="F40" s="27"/>
      <c r="G40" s="27"/>
      <c r="H40" s="81"/>
      <c r="I40" s="79"/>
    </row>
    <row r="41" spans="1:10" ht="11.7">
      <c r="A41" s="144" t="s">
        <v>37</v>
      </c>
      <c r="B41" s="145" t="str">
        <f>B32</f>
        <v>Cozinha</v>
      </c>
      <c r="C41" s="166"/>
      <c r="D41" s="147"/>
      <c r="E41" s="148"/>
      <c r="F41" s="148" t="str">
        <f t="shared" ref="F41" si="5">IF(D41=0,".",C41*E41)</f>
        <v>.</v>
      </c>
      <c r="G41" s="148"/>
      <c r="H41" s="149">
        <f>SUM(G$7:G41)-SUM(H$7:H40)</f>
        <v>700</v>
      </c>
      <c r="I41" s="186"/>
    </row>
    <row r="42" spans="1:10" ht="11.7">
      <c r="A42" s="32"/>
      <c r="B42" s="11"/>
      <c r="C42" s="167"/>
      <c r="D42" s="17"/>
      <c r="E42" s="13"/>
      <c r="F42" s="13"/>
      <c r="G42" s="14"/>
      <c r="H42" s="15"/>
      <c r="I42" s="187"/>
    </row>
    <row r="43" spans="1:10" ht="11.7">
      <c r="A43" s="65">
        <v>3</v>
      </c>
      <c r="B43" s="66" t="s">
        <v>61</v>
      </c>
      <c r="C43" s="170"/>
      <c r="D43" s="68"/>
      <c r="E43" s="69"/>
      <c r="F43" s="69" t="str">
        <f t="shared" si="0"/>
        <v>.</v>
      </c>
      <c r="G43" s="69"/>
      <c r="H43" s="70"/>
      <c r="I43" s="190"/>
    </row>
    <row r="44" spans="1:10" ht="11.7">
      <c r="A44" s="153"/>
      <c r="B44" s="154"/>
      <c r="C44" s="171"/>
      <c r="D44" s="155"/>
      <c r="E44" s="156"/>
      <c r="F44" s="156" t="str">
        <f t="shared" si="0"/>
        <v>.</v>
      </c>
      <c r="G44" s="157"/>
      <c r="H44" s="158"/>
      <c r="I44" s="191"/>
    </row>
    <row r="45" spans="1:10" s="19" customFormat="1" ht="11.7">
      <c r="A45" s="151" t="s">
        <v>48</v>
      </c>
      <c r="B45" s="152" t="s">
        <v>70</v>
      </c>
      <c r="C45" s="163"/>
      <c r="D45" s="24"/>
      <c r="E45" s="41"/>
      <c r="F45" s="104"/>
      <c r="G45" s="41"/>
      <c r="H45" s="40"/>
      <c r="I45" s="192"/>
    </row>
    <row r="46" spans="1:10" ht="11.7">
      <c r="A46" s="133"/>
      <c r="B46" s="134"/>
      <c r="C46" s="169"/>
      <c r="D46" s="136"/>
      <c r="E46" s="26"/>
      <c r="F46" s="26"/>
      <c r="G46" s="27"/>
      <c r="H46" s="28"/>
      <c r="I46" s="189"/>
    </row>
    <row r="47" spans="1:10" ht="45.35">
      <c r="A47" s="150" t="s">
        <v>38</v>
      </c>
      <c r="B47" s="134" t="s">
        <v>65</v>
      </c>
      <c r="C47" s="172">
        <v>1</v>
      </c>
      <c r="D47" s="24" t="s">
        <v>10</v>
      </c>
      <c r="E47" s="13">
        <v>800</v>
      </c>
      <c r="F47" s="26">
        <f>IF(D47=0,".",C47*E47)</f>
        <v>800</v>
      </c>
      <c r="G47" s="39"/>
      <c r="H47" s="40"/>
      <c r="I47" s="184"/>
      <c r="J47" s="57"/>
    </row>
    <row r="48" spans="1:10" ht="11.7">
      <c r="A48" s="133"/>
      <c r="B48" s="134"/>
      <c r="C48" s="169"/>
      <c r="D48" s="136"/>
      <c r="E48" s="26"/>
      <c r="F48" s="26" t="str">
        <f t="shared" ref="F48" si="6">IF(D48=0,".",C48*E48)</f>
        <v>.</v>
      </c>
      <c r="G48" s="27"/>
      <c r="H48" s="28"/>
      <c r="I48" s="189"/>
    </row>
    <row r="49" spans="1:10" s="16" customFormat="1" ht="11.7">
      <c r="A49" s="36"/>
      <c r="B49" s="29" t="s">
        <v>28</v>
      </c>
      <c r="C49" s="30"/>
      <c r="D49" s="31"/>
      <c r="E49" s="26"/>
      <c r="F49" s="26" t="str">
        <f t="shared" ref="F49" si="7">IF(D49=0,".",C49*E49)</f>
        <v>.</v>
      </c>
      <c r="G49" s="27">
        <f>SUM(F$7:F49)-SUM(G$7:G48)</f>
        <v>800</v>
      </c>
      <c r="H49" s="28"/>
      <c r="I49" s="193"/>
    </row>
    <row r="50" spans="1:10" s="16" customFormat="1" ht="11.7">
      <c r="A50" s="36"/>
      <c r="B50" s="29"/>
      <c r="C50" s="30"/>
      <c r="D50" s="31"/>
      <c r="E50" s="26"/>
      <c r="F50" s="26"/>
      <c r="G50" s="27"/>
      <c r="H50" s="28"/>
      <c r="I50" s="193"/>
    </row>
    <row r="51" spans="1:10" s="19" customFormat="1" ht="11.7">
      <c r="A51" s="151" t="s">
        <v>50</v>
      </c>
      <c r="B51" s="152" t="s">
        <v>71</v>
      </c>
      <c r="C51" s="163"/>
      <c r="D51" s="24"/>
      <c r="E51" s="41"/>
      <c r="F51" s="104" t="str">
        <f t="shared" si="0"/>
        <v>.</v>
      </c>
      <c r="G51" s="41"/>
      <c r="H51" s="40"/>
      <c r="I51" s="192"/>
    </row>
    <row r="52" spans="1:10" ht="11.35">
      <c r="A52" s="133"/>
      <c r="B52" s="134"/>
      <c r="C52" s="163"/>
      <c r="D52" s="24"/>
      <c r="E52" s="41"/>
      <c r="F52" s="104" t="str">
        <f t="shared" si="0"/>
        <v>.</v>
      </c>
      <c r="G52" s="41"/>
      <c r="H52" s="40"/>
      <c r="I52" s="189"/>
    </row>
    <row r="53" spans="1:10" ht="45.35">
      <c r="A53" s="33" t="s">
        <v>46</v>
      </c>
      <c r="B53" s="134" t="s">
        <v>65</v>
      </c>
      <c r="C53" s="172">
        <v>1</v>
      </c>
      <c r="D53" s="24" t="s">
        <v>10</v>
      </c>
      <c r="E53" s="13">
        <v>1000</v>
      </c>
      <c r="F53" s="26">
        <f>IF(D53=0,".",C53*E53)</f>
        <v>1000</v>
      </c>
      <c r="G53" s="39"/>
      <c r="H53" s="40"/>
      <c r="I53" s="184"/>
      <c r="J53" s="57"/>
    </row>
    <row r="54" spans="1:10" ht="11.7">
      <c r="A54" s="33"/>
      <c r="B54" s="25"/>
      <c r="C54" s="172"/>
      <c r="D54" s="24"/>
      <c r="E54" s="26"/>
      <c r="F54" s="26"/>
      <c r="G54" s="39"/>
      <c r="H54" s="40"/>
      <c r="I54" s="194"/>
    </row>
    <row r="55" spans="1:10" s="16" customFormat="1" ht="11.7">
      <c r="A55" s="36"/>
      <c r="B55" s="29" t="s">
        <v>28</v>
      </c>
      <c r="C55" s="30"/>
      <c r="D55" s="31"/>
      <c r="E55" s="26"/>
      <c r="F55" s="26" t="str">
        <f t="shared" ref="F55" si="8">IF(D55=0,".",C55*E55)</f>
        <v>.</v>
      </c>
      <c r="G55" s="27">
        <f>SUM(F$7:F55)-SUM(G$7:G52)</f>
        <v>1000</v>
      </c>
      <c r="H55" s="28"/>
      <c r="I55" s="193"/>
    </row>
    <row r="56" spans="1:10" s="16" customFormat="1" ht="11.7">
      <c r="A56" s="36"/>
      <c r="B56" s="29"/>
      <c r="C56" s="30"/>
      <c r="D56" s="31"/>
      <c r="E56" s="26"/>
      <c r="F56" s="26"/>
      <c r="G56" s="27"/>
      <c r="H56" s="28"/>
      <c r="I56" s="193"/>
    </row>
    <row r="57" spans="1:10" s="16" customFormat="1" ht="11.7">
      <c r="A57" s="36"/>
      <c r="B57" s="29"/>
      <c r="C57" s="30"/>
      <c r="D57" s="31"/>
      <c r="E57" s="26"/>
      <c r="F57" s="26"/>
      <c r="G57" s="27"/>
      <c r="H57" s="28"/>
      <c r="I57" s="193"/>
    </row>
    <row r="58" spans="1:10" s="19" customFormat="1" ht="11.7">
      <c r="A58" s="151" t="s">
        <v>90</v>
      </c>
      <c r="B58" s="152" t="s">
        <v>83</v>
      </c>
      <c r="C58" s="21"/>
      <c r="D58" s="24"/>
      <c r="E58" s="41"/>
      <c r="F58" s="104" t="str">
        <f>IF(D58=0,".",C58*E58)</f>
        <v>.</v>
      </c>
      <c r="G58" s="41"/>
      <c r="H58" s="40"/>
      <c r="I58" s="192"/>
    </row>
    <row r="59" spans="1:10" s="19" customFormat="1" ht="11.7">
      <c r="A59" s="151"/>
      <c r="B59" s="152"/>
      <c r="C59" s="178"/>
      <c r="D59" s="179"/>
      <c r="E59" s="180"/>
      <c r="F59" s="13"/>
      <c r="G59" s="41"/>
      <c r="H59" s="40"/>
      <c r="I59" s="192"/>
    </row>
    <row r="60" spans="1:10" s="19" customFormat="1" ht="11.35">
      <c r="A60" s="33" t="s">
        <v>91</v>
      </c>
      <c r="B60" s="22" t="s">
        <v>83</v>
      </c>
      <c r="C60" s="23">
        <v>1</v>
      </c>
      <c r="D60" s="24" t="s">
        <v>4</v>
      </c>
      <c r="E60" s="159">
        <v>500</v>
      </c>
      <c r="F60" s="26">
        <f>IF(D60=0,".",C60*E60)</f>
        <v>500</v>
      </c>
      <c r="G60" s="41"/>
      <c r="H60" s="40"/>
      <c r="I60" s="184"/>
    </row>
    <row r="61" spans="1:10" ht="11.7">
      <c r="A61" s="33"/>
      <c r="B61" s="134"/>
      <c r="C61" s="178"/>
      <c r="D61" s="179"/>
      <c r="E61" s="180"/>
      <c r="F61" s="13"/>
      <c r="G61" s="39"/>
      <c r="H61" s="40"/>
      <c r="I61" s="194"/>
    </row>
    <row r="62" spans="1:10" s="16" customFormat="1" ht="11.7">
      <c r="A62" s="36"/>
      <c r="B62" s="29" t="s">
        <v>28</v>
      </c>
      <c r="C62" s="30"/>
      <c r="D62" s="31"/>
      <c r="E62" s="26"/>
      <c r="F62" s="26" t="str">
        <f t="shared" ref="F62" si="9">IF(D62=0,".",C62*E62)</f>
        <v>.</v>
      </c>
      <c r="G62" s="27">
        <f>SUM(F$7:F62)-SUM(G$7:G60)</f>
        <v>500</v>
      </c>
      <c r="H62" s="27"/>
      <c r="I62" s="193"/>
    </row>
    <row r="63" spans="1:10" s="16" customFormat="1" ht="11.7">
      <c r="A63" s="36"/>
      <c r="B63" s="29"/>
      <c r="C63" s="30"/>
      <c r="D63" s="31"/>
      <c r="E63" s="26"/>
      <c r="F63" s="26"/>
      <c r="G63" s="27"/>
      <c r="H63" s="28"/>
      <c r="I63" s="193"/>
    </row>
    <row r="64" spans="1:10" ht="11.7">
      <c r="A64" s="144" t="s">
        <v>37</v>
      </c>
      <c r="B64" s="145" t="str">
        <f>B43</f>
        <v>Instalações Sanitárias</v>
      </c>
      <c r="C64" s="146"/>
      <c r="D64" s="147"/>
      <c r="E64" s="148"/>
      <c r="F64" s="148" t="str">
        <f t="shared" si="0"/>
        <v>.</v>
      </c>
      <c r="G64" s="148"/>
      <c r="H64" s="149">
        <f>SUM(G$7:G64)-SUM(H$7:H63)</f>
        <v>2300</v>
      </c>
      <c r="I64" s="195"/>
    </row>
    <row r="65" spans="1:9" ht="11.7">
      <c r="A65" s="173"/>
      <c r="B65" s="174"/>
      <c r="C65" s="175"/>
      <c r="D65" s="176"/>
      <c r="E65" s="14"/>
      <c r="F65" s="14"/>
      <c r="G65" s="14"/>
      <c r="H65" s="15"/>
      <c r="I65" s="196"/>
    </row>
    <row r="66" spans="1:9" ht="11.7">
      <c r="A66" s="127">
        <v>4</v>
      </c>
      <c r="B66" s="128" t="s">
        <v>72</v>
      </c>
      <c r="C66" s="129"/>
      <c r="D66" s="130"/>
      <c r="E66" s="131"/>
      <c r="F66" s="131" t="str">
        <f t="shared" si="0"/>
        <v>.</v>
      </c>
      <c r="G66" s="131"/>
      <c r="H66" s="132"/>
      <c r="I66" s="188"/>
    </row>
    <row r="67" spans="1:9" ht="11.7">
      <c r="A67" s="133"/>
      <c r="B67" s="134"/>
      <c r="C67" s="135"/>
      <c r="D67" s="136"/>
      <c r="E67" s="137"/>
      <c r="F67" s="137" t="str">
        <f t="shared" si="0"/>
        <v>.</v>
      </c>
      <c r="G67" s="27"/>
      <c r="H67" s="28"/>
      <c r="I67" s="189"/>
    </row>
    <row r="68" spans="1:9" s="19" customFormat="1" ht="11.7">
      <c r="A68" s="34" t="s">
        <v>56</v>
      </c>
      <c r="B68" s="20" t="s">
        <v>74</v>
      </c>
      <c r="C68" s="21"/>
      <c r="D68" s="24"/>
      <c r="E68" s="41"/>
      <c r="F68" s="104" t="str">
        <f t="shared" si="0"/>
        <v>.</v>
      </c>
      <c r="G68" s="41"/>
      <c r="H68" s="40"/>
      <c r="I68" s="185"/>
    </row>
    <row r="69" spans="1:9" s="19" customFormat="1" ht="11.35">
      <c r="A69" s="35"/>
      <c r="B69" s="21"/>
      <c r="C69" s="21"/>
      <c r="D69" s="24"/>
      <c r="E69" s="26"/>
      <c r="F69" s="26" t="str">
        <f t="shared" si="0"/>
        <v>.</v>
      </c>
      <c r="G69" s="41"/>
      <c r="H69" s="40"/>
      <c r="I69" s="21"/>
    </row>
    <row r="70" spans="1:9" s="19" customFormat="1" ht="34">
      <c r="A70" s="33" t="s">
        <v>39</v>
      </c>
      <c r="B70" s="22" t="s">
        <v>86</v>
      </c>
      <c r="C70" s="23">
        <v>1</v>
      </c>
      <c r="D70" s="24" t="s">
        <v>10</v>
      </c>
      <c r="E70" s="159">
        <v>1200</v>
      </c>
      <c r="F70" s="26">
        <f>IF(D70=0,".",C70*E70)</f>
        <v>1200</v>
      </c>
      <c r="G70" s="41"/>
      <c r="H70" s="40"/>
      <c r="I70" s="184"/>
    </row>
    <row r="71" spans="1:9" s="19" customFormat="1" ht="11.35">
      <c r="A71" s="33"/>
      <c r="B71" s="22"/>
      <c r="C71" s="23"/>
      <c r="D71" s="24"/>
      <c r="E71" s="159"/>
      <c r="F71" s="26"/>
      <c r="G71" s="41"/>
      <c r="H71" s="40"/>
      <c r="I71" s="184"/>
    </row>
    <row r="72" spans="1:9" s="19" customFormat="1" ht="11.7">
      <c r="A72" s="78"/>
      <c r="B72" s="79" t="s">
        <v>28</v>
      </c>
      <c r="C72" s="79"/>
      <c r="D72" s="80"/>
      <c r="E72" s="27"/>
      <c r="F72" s="27" t="str">
        <f t="shared" ref="F72:F75" si="10">IF(D72=0,".",C72*E72)</f>
        <v>.</v>
      </c>
      <c r="G72" s="27">
        <f>SUM(F$7:F72)-SUM(G$7:G71)</f>
        <v>1200</v>
      </c>
      <c r="H72" s="81"/>
      <c r="I72" s="79"/>
    </row>
    <row r="73" spans="1:9" s="19" customFormat="1" ht="11.35">
      <c r="A73" s="35"/>
      <c r="B73" s="21"/>
      <c r="C73" s="21"/>
      <c r="D73" s="24"/>
      <c r="E73" s="26"/>
      <c r="F73" s="26" t="str">
        <f t="shared" si="10"/>
        <v>.</v>
      </c>
      <c r="G73" s="41"/>
      <c r="H73" s="40"/>
      <c r="I73" s="21"/>
    </row>
    <row r="74" spans="1:9" s="19" customFormat="1" ht="11.35">
      <c r="A74" s="35"/>
      <c r="B74" s="21"/>
      <c r="C74" s="21"/>
      <c r="D74" s="24"/>
      <c r="E74" s="26"/>
      <c r="F74" s="26" t="str">
        <f t="shared" si="10"/>
        <v>.</v>
      </c>
      <c r="G74" s="42"/>
      <c r="H74" s="43"/>
      <c r="I74" s="21"/>
    </row>
    <row r="75" spans="1:9" ht="11.7">
      <c r="A75" s="144" t="s">
        <v>37</v>
      </c>
      <c r="B75" s="145" t="str">
        <f>B66</f>
        <v>Portas</v>
      </c>
      <c r="C75" s="146"/>
      <c r="D75" s="147"/>
      <c r="E75" s="148"/>
      <c r="F75" s="148" t="str">
        <f t="shared" si="10"/>
        <v>.</v>
      </c>
      <c r="G75" s="148"/>
      <c r="H75" s="149">
        <f>SUM(G$7:G75)-SUM(H$7:H74)</f>
        <v>1200</v>
      </c>
      <c r="I75" s="186"/>
    </row>
    <row r="76" spans="1:9" ht="11.7">
      <c r="A76" s="173"/>
      <c r="B76" s="174"/>
      <c r="C76" s="175"/>
      <c r="D76" s="176"/>
      <c r="E76" s="14"/>
      <c r="F76" s="14"/>
      <c r="G76" s="14"/>
      <c r="H76" s="15"/>
      <c r="I76" s="197"/>
    </row>
    <row r="77" spans="1:9" ht="11.7">
      <c r="A77" s="127">
        <v>5</v>
      </c>
      <c r="B77" s="128" t="s">
        <v>66</v>
      </c>
      <c r="C77" s="129"/>
      <c r="D77" s="130"/>
      <c r="E77" s="131"/>
      <c r="F77" s="131" t="str">
        <f t="shared" ref="F77:F80" si="11">IF(D77=0,".",C77*E77)</f>
        <v>.</v>
      </c>
      <c r="G77" s="131"/>
      <c r="H77" s="132"/>
      <c r="I77" s="188"/>
    </row>
    <row r="78" spans="1:9" ht="11.7">
      <c r="A78" s="133"/>
      <c r="B78" s="134"/>
      <c r="C78" s="135"/>
      <c r="D78" s="136"/>
      <c r="E78" s="137"/>
      <c r="F78" s="137" t="str">
        <f t="shared" si="11"/>
        <v>.</v>
      </c>
      <c r="G78" s="27"/>
      <c r="H78" s="28"/>
      <c r="I78" s="189"/>
    </row>
    <row r="79" spans="1:9" s="19" customFormat="1" ht="11.7">
      <c r="A79" s="34" t="s">
        <v>55</v>
      </c>
      <c r="B79" s="20" t="s">
        <v>66</v>
      </c>
      <c r="C79" s="21"/>
      <c r="D79" s="24"/>
      <c r="E79" s="41"/>
      <c r="F79" s="104" t="str">
        <f t="shared" si="11"/>
        <v>.</v>
      </c>
      <c r="G79" s="41"/>
      <c r="H79" s="40"/>
      <c r="I79" s="185"/>
    </row>
    <row r="80" spans="1:9" s="19" customFormat="1" ht="11.35">
      <c r="A80" s="35"/>
      <c r="B80" s="21"/>
      <c r="C80" s="21"/>
      <c r="D80" s="24"/>
      <c r="E80" s="26"/>
      <c r="F80" s="26" t="str">
        <f t="shared" si="11"/>
        <v>.</v>
      </c>
      <c r="G80" s="41"/>
      <c r="H80" s="40"/>
      <c r="I80" s="21"/>
    </row>
    <row r="81" spans="1:9" s="19" customFormat="1" ht="34">
      <c r="A81" s="33" t="s">
        <v>44</v>
      </c>
      <c r="B81" s="22" t="s">
        <v>69</v>
      </c>
      <c r="C81" s="23">
        <v>1</v>
      </c>
      <c r="D81" s="24" t="s">
        <v>10</v>
      </c>
      <c r="E81" s="159">
        <v>2500</v>
      </c>
      <c r="F81" s="26">
        <f>IF(D81=0,".",C81*E81)</f>
        <v>2500</v>
      </c>
      <c r="G81" s="41"/>
      <c r="H81" s="40"/>
      <c r="I81" s="184"/>
    </row>
    <row r="82" spans="1:9" s="19" customFormat="1" ht="11.35">
      <c r="A82" s="33"/>
      <c r="B82" s="22"/>
      <c r="C82" s="23"/>
      <c r="D82" s="24"/>
      <c r="E82" s="159"/>
      <c r="F82" s="26"/>
      <c r="G82" s="41"/>
      <c r="H82" s="40"/>
      <c r="I82" s="184"/>
    </row>
    <row r="83" spans="1:9" s="19" customFormat="1" ht="11.7">
      <c r="A83" s="78"/>
      <c r="B83" s="79" t="s">
        <v>28</v>
      </c>
      <c r="C83" s="79"/>
      <c r="D83" s="80"/>
      <c r="E83" s="27"/>
      <c r="F83" s="27" t="str">
        <f t="shared" ref="F83:F86" si="12">IF(D83=0,".",C83*E83)</f>
        <v>.</v>
      </c>
      <c r="G83" s="27">
        <f>SUM(F$7:F83)-SUM(G$7:G82)</f>
        <v>2500</v>
      </c>
      <c r="H83" s="81"/>
      <c r="I83" s="79"/>
    </row>
    <row r="84" spans="1:9" s="19" customFormat="1" ht="11.35">
      <c r="A84" s="35"/>
      <c r="B84" s="21"/>
      <c r="C84" s="21"/>
      <c r="D84" s="24"/>
      <c r="E84" s="26"/>
      <c r="F84" s="26" t="str">
        <f t="shared" si="12"/>
        <v>.</v>
      </c>
      <c r="G84" s="41"/>
      <c r="H84" s="40"/>
      <c r="I84" s="21"/>
    </row>
    <row r="85" spans="1:9" s="19" customFormat="1" ht="11.35">
      <c r="A85" s="35"/>
      <c r="B85" s="21"/>
      <c r="C85" s="21"/>
      <c r="D85" s="24"/>
      <c r="E85" s="26"/>
      <c r="F85" s="26" t="str">
        <f t="shared" si="12"/>
        <v>.</v>
      </c>
      <c r="G85" s="42"/>
      <c r="H85" s="43"/>
      <c r="I85" s="21"/>
    </row>
    <row r="86" spans="1:9" ht="11.7">
      <c r="A86" s="144" t="s">
        <v>37</v>
      </c>
      <c r="B86" s="145" t="str">
        <f>B77</f>
        <v>Canalizações</v>
      </c>
      <c r="C86" s="146"/>
      <c r="D86" s="147"/>
      <c r="E86" s="148"/>
      <c r="F86" s="148" t="str">
        <f t="shared" si="12"/>
        <v>.</v>
      </c>
      <c r="G86" s="148"/>
      <c r="H86" s="149">
        <f>SUM(G$7:G86)-SUM(H$7:H85)</f>
        <v>2500</v>
      </c>
      <c r="I86" s="186"/>
    </row>
    <row r="87" spans="1:9" ht="11.7">
      <c r="A87" s="32"/>
      <c r="B87" s="11"/>
      <c r="C87" s="12"/>
      <c r="D87" s="17"/>
      <c r="E87" s="13"/>
      <c r="F87" s="13" t="str">
        <f t="shared" si="0"/>
        <v>.</v>
      </c>
      <c r="G87" s="14"/>
      <c r="H87" s="15"/>
      <c r="I87" s="187"/>
    </row>
    <row r="88" spans="1:9" ht="11.7">
      <c r="A88" s="127">
        <v>6</v>
      </c>
      <c r="B88" s="128" t="s">
        <v>67</v>
      </c>
      <c r="C88" s="129"/>
      <c r="D88" s="130"/>
      <c r="E88" s="131"/>
      <c r="F88" s="131" t="str">
        <f t="shared" si="0"/>
        <v>.</v>
      </c>
      <c r="G88" s="131"/>
      <c r="H88" s="132"/>
      <c r="I88" s="188"/>
    </row>
    <row r="89" spans="1:9" ht="11.7">
      <c r="A89" s="133"/>
      <c r="B89" s="134"/>
      <c r="C89" s="135"/>
      <c r="D89" s="136"/>
      <c r="E89" s="137"/>
      <c r="F89" s="137" t="str">
        <f t="shared" si="0"/>
        <v>.</v>
      </c>
      <c r="G89" s="27"/>
      <c r="H89" s="28"/>
      <c r="I89" s="189"/>
    </row>
    <row r="90" spans="1:9" s="19" customFormat="1" ht="11.7">
      <c r="A90" s="34" t="s">
        <v>57</v>
      </c>
      <c r="B90" s="20" t="s">
        <v>67</v>
      </c>
      <c r="C90" s="21"/>
      <c r="D90" s="24"/>
      <c r="E90" s="41"/>
      <c r="F90" s="104" t="str">
        <f t="shared" si="0"/>
        <v>.</v>
      </c>
      <c r="G90" s="41"/>
      <c r="H90" s="40"/>
      <c r="I90" s="185"/>
    </row>
    <row r="91" spans="1:9" s="19" customFormat="1" ht="11.35">
      <c r="A91" s="35"/>
      <c r="B91" s="21"/>
      <c r="C91" s="21"/>
      <c r="D91" s="24"/>
      <c r="E91" s="26"/>
      <c r="F91" s="26" t="str">
        <f t="shared" si="0"/>
        <v>.</v>
      </c>
      <c r="G91" s="41"/>
      <c r="H91" s="40"/>
      <c r="I91" s="21"/>
    </row>
    <row r="92" spans="1:9" s="19" customFormat="1" ht="45.35">
      <c r="A92" s="33" t="s">
        <v>58</v>
      </c>
      <c r="B92" s="22" t="s">
        <v>68</v>
      </c>
      <c r="C92" s="23">
        <v>1</v>
      </c>
      <c r="D92" s="24" t="s">
        <v>10</v>
      </c>
      <c r="E92" s="159">
        <v>3000</v>
      </c>
      <c r="F92" s="26">
        <f>IF(D92=0,".",C92*E92)</f>
        <v>3000</v>
      </c>
      <c r="G92" s="41"/>
      <c r="H92" s="40"/>
      <c r="I92" s="184"/>
    </row>
    <row r="93" spans="1:9" s="19" customFormat="1" ht="11.35">
      <c r="A93" s="33"/>
      <c r="B93" s="22"/>
      <c r="C93" s="23"/>
      <c r="D93" s="24"/>
      <c r="E93" s="159"/>
      <c r="F93" s="26"/>
      <c r="G93" s="41"/>
      <c r="H93" s="40"/>
      <c r="I93" s="184"/>
    </row>
    <row r="94" spans="1:9" s="19" customFormat="1" ht="11.7">
      <c r="A94" s="78"/>
      <c r="B94" s="79" t="s">
        <v>28</v>
      </c>
      <c r="C94" s="79"/>
      <c r="D94" s="80"/>
      <c r="E94" s="27"/>
      <c r="F94" s="27" t="str">
        <f t="shared" ref="F94:F98" si="13">IF(D94=0,".",C94*E94)</f>
        <v>.</v>
      </c>
      <c r="G94" s="27">
        <f>SUM(F$7:F94)-SUM(G$7:G93)</f>
        <v>3000</v>
      </c>
      <c r="H94" s="81"/>
      <c r="I94" s="79"/>
    </row>
    <row r="95" spans="1:9" s="19" customFormat="1" ht="11.35">
      <c r="A95" s="35"/>
      <c r="B95" s="21"/>
      <c r="C95" s="21"/>
      <c r="D95" s="24"/>
      <c r="E95" s="26"/>
      <c r="F95" s="26" t="str">
        <f t="shared" si="13"/>
        <v>.</v>
      </c>
      <c r="G95" s="41"/>
      <c r="H95" s="40"/>
      <c r="I95" s="21"/>
    </row>
    <row r="96" spans="1:9" s="19" customFormat="1" ht="11.35">
      <c r="A96" s="35"/>
      <c r="B96" s="21"/>
      <c r="C96" s="21"/>
      <c r="D96" s="24"/>
      <c r="E96" s="26"/>
      <c r="F96" s="26" t="str">
        <f t="shared" si="13"/>
        <v>.</v>
      </c>
      <c r="G96" s="42"/>
      <c r="H96" s="43"/>
      <c r="I96" s="21"/>
    </row>
    <row r="97" spans="1:9" ht="11.7">
      <c r="A97" s="144" t="s">
        <v>37</v>
      </c>
      <c r="B97" s="145" t="str">
        <f>B88</f>
        <v>Eletricidade</v>
      </c>
      <c r="C97" s="146"/>
      <c r="D97" s="147"/>
      <c r="E97" s="148"/>
      <c r="F97" s="148" t="str">
        <f t="shared" si="13"/>
        <v>.</v>
      </c>
      <c r="G97" s="148"/>
      <c r="H97" s="149">
        <f>SUM(G$7:G97)-SUM(H$7:H96)</f>
        <v>3000</v>
      </c>
      <c r="I97" s="186"/>
    </row>
    <row r="98" spans="1:9" ht="11.7">
      <c r="A98" s="32"/>
      <c r="B98" s="11"/>
      <c r="C98" s="12"/>
      <c r="D98" s="17"/>
      <c r="E98" s="13"/>
      <c r="F98" s="13" t="str">
        <f t="shared" si="13"/>
        <v>.</v>
      </c>
      <c r="G98" s="14"/>
      <c r="H98" s="15"/>
      <c r="I98" s="187"/>
    </row>
    <row r="99" spans="1:9" ht="11.7">
      <c r="A99" s="127">
        <v>7</v>
      </c>
      <c r="B99" s="128" t="s">
        <v>89</v>
      </c>
      <c r="C99" s="129"/>
      <c r="D99" s="130"/>
      <c r="E99" s="131"/>
      <c r="F99" s="131" t="str">
        <f t="shared" si="0"/>
        <v>.</v>
      </c>
      <c r="G99" s="131"/>
      <c r="H99" s="132"/>
      <c r="I99" s="188"/>
    </row>
    <row r="100" spans="1:9" ht="11.7">
      <c r="A100" s="133"/>
      <c r="B100" s="134"/>
      <c r="C100" s="135"/>
      <c r="D100" s="136"/>
      <c r="E100" s="137"/>
      <c r="F100" s="137" t="str">
        <f t="shared" si="0"/>
        <v>.</v>
      </c>
      <c r="G100" s="27"/>
      <c r="H100" s="28"/>
      <c r="I100" s="189"/>
    </row>
    <row r="101" spans="1:9" s="19" customFormat="1" ht="11.7">
      <c r="A101" s="34" t="s">
        <v>78</v>
      </c>
      <c r="B101" s="20" t="s">
        <v>89</v>
      </c>
      <c r="C101" s="21"/>
      <c r="D101" s="24"/>
      <c r="E101" s="41"/>
      <c r="F101" s="104" t="str">
        <f t="shared" si="0"/>
        <v>.</v>
      </c>
      <c r="G101" s="41"/>
      <c r="H101" s="40"/>
      <c r="I101" s="185"/>
    </row>
    <row r="102" spans="1:9" s="19" customFormat="1" ht="11.35">
      <c r="A102" s="35"/>
      <c r="B102" s="21"/>
      <c r="C102" s="21"/>
      <c r="D102" s="24"/>
      <c r="E102" s="26"/>
      <c r="F102" s="26" t="str">
        <f t="shared" si="0"/>
        <v>.</v>
      </c>
      <c r="G102" s="41"/>
      <c r="H102" s="40"/>
      <c r="I102" s="21"/>
    </row>
    <row r="103" spans="1:9" s="19" customFormat="1" ht="11.35">
      <c r="A103" s="35" t="s">
        <v>79</v>
      </c>
      <c r="B103" s="21" t="s">
        <v>101</v>
      </c>
      <c r="C103" s="23">
        <v>1</v>
      </c>
      <c r="D103" s="24" t="s">
        <v>10</v>
      </c>
      <c r="E103" s="26">
        <v>800</v>
      </c>
      <c r="F103" s="26">
        <f>IF(D103=0,".",C103*E103)</f>
        <v>800</v>
      </c>
      <c r="G103" s="41"/>
      <c r="H103" s="40"/>
      <c r="I103" s="21"/>
    </row>
    <row r="104" spans="1:9" s="19" customFormat="1" ht="11.35">
      <c r="A104" s="35"/>
      <c r="B104" s="21"/>
      <c r="C104" s="21"/>
      <c r="D104" s="24"/>
      <c r="E104" s="26"/>
      <c r="F104" s="26"/>
      <c r="G104" s="41"/>
      <c r="H104" s="40"/>
      <c r="I104" s="21"/>
    </row>
    <row r="105" spans="1:9" s="19" customFormat="1" ht="22.7">
      <c r="A105" s="33" t="s">
        <v>79</v>
      </c>
      <c r="B105" s="22" t="s">
        <v>104</v>
      </c>
      <c r="C105" s="23">
        <v>1</v>
      </c>
      <c r="D105" s="24" t="s">
        <v>10</v>
      </c>
      <c r="E105" s="159">
        <v>1400</v>
      </c>
      <c r="F105" s="26">
        <f>IF(D105=0,".",C105*E105)</f>
        <v>1400</v>
      </c>
      <c r="G105" s="41"/>
      <c r="H105" s="40"/>
      <c r="I105" s="184"/>
    </row>
    <row r="106" spans="1:9" s="19" customFormat="1" ht="11.35">
      <c r="A106" s="33"/>
      <c r="B106" s="201"/>
      <c r="C106" s="23"/>
      <c r="D106" s="24"/>
      <c r="E106" s="159"/>
      <c r="F106" s="26"/>
      <c r="G106" s="41"/>
      <c r="H106" s="40"/>
      <c r="I106" s="184"/>
    </row>
    <row r="107" spans="1:9" s="19" customFormat="1" ht="34">
      <c r="A107" s="33" t="s">
        <v>94</v>
      </c>
      <c r="B107" s="22" t="s">
        <v>103</v>
      </c>
      <c r="C107" s="23">
        <v>1</v>
      </c>
      <c r="D107" s="24" t="s">
        <v>10</v>
      </c>
      <c r="E107" s="159">
        <v>1000</v>
      </c>
      <c r="F107" s="26">
        <f>IF(D107=0,".",C107*E107)</f>
        <v>1000</v>
      </c>
      <c r="G107" s="41"/>
      <c r="H107" s="40"/>
      <c r="I107" s="184"/>
    </row>
    <row r="108" spans="1:9" s="19" customFormat="1" ht="11.35">
      <c r="A108" s="33"/>
      <c r="B108" s="22"/>
      <c r="C108" s="23"/>
      <c r="D108" s="24"/>
      <c r="E108" s="159"/>
      <c r="F108" s="26"/>
      <c r="G108" s="41"/>
      <c r="H108" s="40"/>
      <c r="I108" s="184"/>
    </row>
    <row r="109" spans="1:9" s="19" customFormat="1" ht="11.7">
      <c r="A109" s="78"/>
      <c r="B109" s="79" t="s">
        <v>28</v>
      </c>
      <c r="C109" s="79"/>
      <c r="D109" s="80"/>
      <c r="E109" s="27"/>
      <c r="F109" s="27" t="str">
        <f t="shared" si="0"/>
        <v>.</v>
      </c>
      <c r="G109" s="27">
        <f>SUM(F$7:F109)-SUM(G$7:G108)</f>
        <v>3200</v>
      </c>
      <c r="H109" s="81"/>
      <c r="I109" s="79"/>
    </row>
    <row r="110" spans="1:9" s="19" customFormat="1" ht="11.35">
      <c r="A110" s="35"/>
      <c r="B110" s="21"/>
      <c r="C110" s="21"/>
      <c r="D110" s="24"/>
      <c r="E110" s="26"/>
      <c r="F110" s="26" t="str">
        <f t="shared" si="0"/>
        <v>.</v>
      </c>
      <c r="G110" s="41"/>
      <c r="H110" s="40"/>
      <c r="I110" s="21"/>
    </row>
    <row r="111" spans="1:9" s="19" customFormat="1" ht="11.35">
      <c r="A111" s="35"/>
      <c r="B111" s="21"/>
      <c r="C111" s="21"/>
      <c r="D111" s="24"/>
      <c r="E111" s="26"/>
      <c r="F111" s="26" t="str">
        <f t="shared" si="0"/>
        <v>.</v>
      </c>
      <c r="G111" s="42"/>
      <c r="H111" s="43"/>
      <c r="I111" s="21"/>
    </row>
    <row r="112" spans="1:9" ht="11.7">
      <c r="A112" s="144" t="s">
        <v>37</v>
      </c>
      <c r="B112" s="145" t="str">
        <f>B99</f>
        <v>Pintura e pladur</v>
      </c>
      <c r="C112" s="146"/>
      <c r="D112" s="147"/>
      <c r="E112" s="148"/>
      <c r="F112" s="148" t="str">
        <f t="shared" si="0"/>
        <v>.</v>
      </c>
      <c r="G112" s="148"/>
      <c r="H112" s="149">
        <f>SUM(G$7:G112)-SUM(H$7:H111)</f>
        <v>3200</v>
      </c>
      <c r="I112" s="186"/>
    </row>
    <row r="113" spans="1:9" ht="11.7">
      <c r="A113" s="32"/>
      <c r="B113" s="11"/>
      <c r="C113" s="12"/>
      <c r="D113" s="17"/>
      <c r="E113" s="13"/>
      <c r="F113" s="13" t="str">
        <f t="shared" si="0"/>
        <v>.</v>
      </c>
      <c r="G113" s="14"/>
      <c r="H113" s="15"/>
      <c r="I113" s="187"/>
    </row>
    <row r="114" spans="1:9" ht="11.7">
      <c r="A114" s="127">
        <v>9</v>
      </c>
      <c r="B114" s="128" t="s">
        <v>95</v>
      </c>
      <c r="C114" s="129"/>
      <c r="D114" s="130"/>
      <c r="E114" s="131"/>
      <c r="F114" s="131" t="str">
        <f t="shared" ref="F114:F117" si="14">IF(D114=0,".",C114*E114)</f>
        <v>.</v>
      </c>
      <c r="G114" s="131"/>
      <c r="H114" s="132"/>
      <c r="I114" s="188"/>
    </row>
    <row r="115" spans="1:9" ht="11.7">
      <c r="A115" s="133"/>
      <c r="B115" s="134"/>
      <c r="C115" s="135"/>
      <c r="D115" s="136"/>
      <c r="E115" s="137"/>
      <c r="F115" s="137" t="str">
        <f t="shared" si="14"/>
        <v>.</v>
      </c>
      <c r="G115" s="27"/>
      <c r="H115" s="28"/>
      <c r="I115" s="189"/>
    </row>
    <row r="116" spans="1:9" s="19" customFormat="1" ht="11.7">
      <c r="A116" s="34" t="s">
        <v>80</v>
      </c>
      <c r="B116" s="20" t="s">
        <v>95</v>
      </c>
      <c r="C116" s="21"/>
      <c r="D116" s="24"/>
      <c r="E116" s="41"/>
      <c r="F116" s="104" t="str">
        <f t="shared" si="14"/>
        <v>.</v>
      </c>
      <c r="G116" s="41"/>
      <c r="H116" s="40"/>
      <c r="I116" s="185"/>
    </row>
    <row r="117" spans="1:9" s="19" customFormat="1" ht="11.35">
      <c r="A117" s="35"/>
      <c r="B117" s="21"/>
      <c r="C117" s="21"/>
      <c r="D117" s="24"/>
      <c r="E117" s="26"/>
      <c r="F117" s="26" t="str">
        <f t="shared" si="14"/>
        <v>.</v>
      </c>
      <c r="G117" s="41"/>
      <c r="H117" s="40"/>
      <c r="I117" s="21"/>
    </row>
    <row r="118" spans="1:9" s="19" customFormat="1" ht="22.7">
      <c r="A118" s="35" t="s">
        <v>81</v>
      </c>
      <c r="B118" s="202" t="s">
        <v>107</v>
      </c>
      <c r="C118" s="23">
        <v>1</v>
      </c>
      <c r="D118" s="24" t="s">
        <v>10</v>
      </c>
      <c r="E118" s="159">
        <v>1300</v>
      </c>
      <c r="F118" s="26">
        <f>IF(D118=0,".",C118*E118)</f>
        <v>1300</v>
      </c>
      <c r="G118" s="41"/>
      <c r="H118" s="40"/>
      <c r="I118" s="21"/>
    </row>
    <row r="119" spans="1:9" s="19" customFormat="1" ht="11.35">
      <c r="A119" s="35"/>
      <c r="B119" s="21"/>
      <c r="C119" s="21"/>
      <c r="D119" s="24"/>
      <c r="E119" s="26"/>
      <c r="F119" s="26"/>
      <c r="G119" s="41"/>
      <c r="H119" s="40"/>
      <c r="I119" s="21"/>
    </row>
    <row r="120" spans="1:9" s="19" customFormat="1" ht="11.35">
      <c r="A120" s="33" t="s">
        <v>102</v>
      </c>
      <c r="B120" s="22" t="s">
        <v>96</v>
      </c>
      <c r="C120" s="23">
        <v>1</v>
      </c>
      <c r="D120" s="24" t="s">
        <v>10</v>
      </c>
      <c r="E120" s="159">
        <v>1400</v>
      </c>
      <c r="F120" s="26">
        <f>IF(D120=0,".",C120*E120)</f>
        <v>1400</v>
      </c>
      <c r="G120" s="41"/>
      <c r="H120" s="40"/>
      <c r="I120" s="184"/>
    </row>
    <row r="121" spans="1:9" s="19" customFormat="1" ht="11.35">
      <c r="A121" s="33"/>
      <c r="B121" s="22"/>
      <c r="C121" s="23"/>
      <c r="D121" s="24"/>
      <c r="E121" s="159"/>
      <c r="F121" s="26"/>
      <c r="G121" s="41"/>
      <c r="H121" s="40"/>
      <c r="I121" s="184"/>
    </row>
    <row r="122" spans="1:9" s="19" customFormat="1" ht="11.7">
      <c r="A122" s="78"/>
      <c r="B122" s="79" t="s">
        <v>28</v>
      </c>
      <c r="C122" s="79"/>
      <c r="D122" s="80"/>
      <c r="E122" s="27"/>
      <c r="F122" s="27" t="str">
        <f t="shared" ref="F122:F125" si="15">IF(D122=0,".",C122*E122)</f>
        <v>.</v>
      </c>
      <c r="G122" s="27">
        <f>SUM(F$7:F122)-SUM(G$7:G120)</f>
        <v>2700</v>
      </c>
      <c r="H122" s="81"/>
      <c r="I122" s="79"/>
    </row>
    <row r="123" spans="1:9" s="19" customFormat="1" ht="11.35">
      <c r="A123" s="35"/>
      <c r="B123" s="21"/>
      <c r="C123" s="21"/>
      <c r="D123" s="24"/>
      <c r="E123" s="26"/>
      <c r="F123" s="26" t="str">
        <f t="shared" si="15"/>
        <v>.</v>
      </c>
      <c r="G123" s="41"/>
      <c r="H123" s="40"/>
      <c r="I123" s="21"/>
    </row>
    <row r="124" spans="1:9" ht="11.7">
      <c r="A124" s="144" t="s">
        <v>37</v>
      </c>
      <c r="B124" s="145" t="str">
        <f>B114</f>
        <v>Pavimento</v>
      </c>
      <c r="C124" s="146"/>
      <c r="D124" s="147"/>
      <c r="E124" s="148"/>
      <c r="F124" s="148" t="str">
        <f t="shared" si="15"/>
        <v>.</v>
      </c>
      <c r="G124" s="148"/>
      <c r="H124" s="149">
        <f>SUM(G$7:G124)-SUM(H$7:H123)</f>
        <v>2700</v>
      </c>
      <c r="I124" s="186"/>
    </row>
    <row r="125" spans="1:9" ht="11.7">
      <c r="A125" s="32"/>
      <c r="B125" s="11"/>
      <c r="C125" s="12"/>
      <c r="D125" s="17"/>
      <c r="E125" s="13"/>
      <c r="F125" s="13" t="str">
        <f t="shared" si="15"/>
        <v>.</v>
      </c>
      <c r="G125" s="14"/>
      <c r="H125" s="15"/>
      <c r="I125" s="187"/>
    </row>
    <row r="126" spans="1:9" ht="11.7">
      <c r="A126" s="127">
        <v>10</v>
      </c>
      <c r="B126" s="128" t="s">
        <v>97</v>
      </c>
      <c r="C126" s="129"/>
      <c r="D126" s="130"/>
      <c r="E126" s="131"/>
      <c r="F126" s="131" t="str">
        <f t="shared" ref="F126:F129" si="16">IF(D126=0,".",C126*E126)</f>
        <v>.</v>
      </c>
      <c r="G126" s="131"/>
      <c r="H126" s="132"/>
      <c r="I126" s="188"/>
    </row>
    <row r="127" spans="1:9" ht="11.7">
      <c r="A127" s="133"/>
      <c r="B127" s="134"/>
      <c r="C127" s="135"/>
      <c r="D127" s="136"/>
      <c r="E127" s="137"/>
      <c r="F127" s="137" t="str">
        <f t="shared" si="16"/>
        <v>.</v>
      </c>
      <c r="G127" s="27"/>
      <c r="H127" s="28"/>
      <c r="I127" s="189"/>
    </row>
    <row r="128" spans="1:9" s="19" customFormat="1" ht="11.7">
      <c r="A128" s="34" t="s">
        <v>87</v>
      </c>
      <c r="B128" s="20" t="s">
        <v>97</v>
      </c>
      <c r="C128" s="21"/>
      <c r="D128" s="24"/>
      <c r="E128" s="41"/>
      <c r="F128" s="104" t="str">
        <f t="shared" si="16"/>
        <v>.</v>
      </c>
      <c r="G128" s="41"/>
      <c r="H128" s="40"/>
      <c r="I128" s="185"/>
    </row>
    <row r="129" spans="1:9" s="19" customFormat="1" ht="11.35">
      <c r="A129" s="35"/>
      <c r="B129" s="21"/>
      <c r="C129" s="21"/>
      <c r="D129" s="24"/>
      <c r="E129" s="26"/>
      <c r="F129" s="26" t="str">
        <f t="shared" si="16"/>
        <v>.</v>
      </c>
      <c r="G129" s="41"/>
      <c r="H129" s="40"/>
      <c r="I129" s="21"/>
    </row>
    <row r="130" spans="1:9" s="19" customFormat="1" ht="45.35">
      <c r="A130" s="33" t="s">
        <v>88</v>
      </c>
      <c r="B130" s="22" t="s">
        <v>98</v>
      </c>
      <c r="C130" s="23">
        <v>1</v>
      </c>
      <c r="D130" s="24" t="s">
        <v>4</v>
      </c>
      <c r="E130" s="26">
        <v>1200</v>
      </c>
      <c r="F130" s="26">
        <f>IF(D130=0,".",C130*E130)</f>
        <v>1200</v>
      </c>
      <c r="G130" s="41"/>
      <c r="H130" s="40"/>
      <c r="I130" s="184" t="s">
        <v>106</v>
      </c>
    </row>
    <row r="131" spans="1:9" s="19" customFormat="1" ht="11.35">
      <c r="A131" s="33"/>
      <c r="B131" s="22"/>
      <c r="C131" s="23"/>
      <c r="D131" s="24"/>
      <c r="E131" s="26"/>
      <c r="F131" s="26"/>
      <c r="G131" s="41"/>
      <c r="H131" s="40"/>
      <c r="I131" s="184"/>
    </row>
    <row r="132" spans="1:9" s="19" customFormat="1" ht="11.7">
      <c r="A132" s="78"/>
      <c r="B132" s="79" t="s">
        <v>28</v>
      </c>
      <c r="C132" s="79"/>
      <c r="D132" s="80"/>
      <c r="E132" s="27"/>
      <c r="F132" s="27" t="str">
        <f t="shared" ref="F132" si="17">IF(D132=0,".",C132*E132)</f>
        <v>.</v>
      </c>
      <c r="G132" s="27">
        <f>SUM(F$7:F132)-SUM(G$7:G129)</f>
        <v>1200</v>
      </c>
      <c r="H132" s="81"/>
      <c r="I132" s="79"/>
    </row>
    <row r="133" spans="1:9" s="19" customFormat="1" ht="11.35">
      <c r="A133" s="33"/>
      <c r="B133" s="22"/>
      <c r="C133" s="23"/>
      <c r="D133" s="24"/>
      <c r="E133" s="26"/>
      <c r="F133" s="26"/>
      <c r="G133" s="41"/>
      <c r="H133" s="40"/>
      <c r="I133" s="184"/>
    </row>
    <row r="134" spans="1:9" s="19" customFormat="1" ht="11.35">
      <c r="A134" s="35"/>
      <c r="B134" s="21"/>
      <c r="C134" s="21"/>
      <c r="D134" s="24"/>
      <c r="E134" s="26"/>
      <c r="F134" s="26" t="str">
        <f t="shared" ref="F134:F135" si="18">IF(D134=0,".",C134*E134)</f>
        <v>.</v>
      </c>
      <c r="G134" s="41"/>
      <c r="H134" s="40"/>
      <c r="I134" s="21"/>
    </row>
    <row r="135" spans="1:9" ht="11.7">
      <c r="A135" s="144" t="s">
        <v>37</v>
      </c>
      <c r="B135" s="145" t="str">
        <f>B126</f>
        <v>Logistica</v>
      </c>
      <c r="C135" s="146"/>
      <c r="D135" s="147"/>
      <c r="E135" s="148"/>
      <c r="F135" s="148" t="str">
        <f t="shared" si="18"/>
        <v>.</v>
      </c>
      <c r="G135" s="148"/>
      <c r="H135" s="149">
        <f>SUM(G$7:G135)-SUM(H$7:H134)</f>
        <v>1200</v>
      </c>
      <c r="I135" s="186"/>
    </row>
    <row r="136" spans="1:9" ht="11.7">
      <c r="A136" s="32"/>
      <c r="B136" s="11"/>
      <c r="C136" s="12"/>
      <c r="D136" s="17"/>
      <c r="E136" s="13"/>
      <c r="F136" s="13"/>
      <c r="G136" s="14"/>
      <c r="H136" s="15"/>
      <c r="I136" s="187"/>
    </row>
    <row r="137" spans="1:9" ht="11.7">
      <c r="A137" s="138"/>
      <c r="B137" s="139" t="s">
        <v>40</v>
      </c>
      <c r="C137" s="140"/>
      <c r="D137" s="141"/>
      <c r="E137" s="142"/>
      <c r="F137" s="142">
        <f>SUM(F7:F136)</f>
        <v>22000</v>
      </c>
      <c r="G137" s="142">
        <f>SUM(G7:G136)</f>
        <v>22000</v>
      </c>
      <c r="H137" s="143">
        <f>SUM(H7:H136)</f>
        <v>22000</v>
      </c>
      <c r="I137" s="139"/>
    </row>
    <row r="139" spans="1:9">
      <c r="B139" s="96"/>
    </row>
    <row r="140" spans="1:9">
      <c r="H140" s="198"/>
    </row>
    <row r="169" spans="5:6">
      <c r="E169" s="199"/>
    </row>
    <row r="176" spans="5:6">
      <c r="E176" s="199"/>
      <c r="F176" s="200"/>
    </row>
  </sheetData>
  <mergeCells count="6">
    <mergeCell ref="I5:I6"/>
    <mergeCell ref="A1:H1"/>
    <mergeCell ref="A2:H2"/>
    <mergeCell ref="A3:H3"/>
    <mergeCell ref="E5:F5"/>
    <mergeCell ref="G5:H5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29" fitToHeight="0" orientation="portrait" r:id="rId1"/>
  <headerFooter>
    <oddFooter xml:space="preserve">&amp;L&amp;"Arial,Normal"&amp;7&amp;KEF5656&amp;D    &amp;K2D3543&amp;F    &amp;KEF5656
Pg. &amp;P / &amp;N    &amp;K2D3543&amp;A  &amp;KEF5656  &amp;K2B2B43  &amp;8&amp;K01+026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9D7BB-B605-43C1-A95E-0F502B43FE51}">
  <dimension ref="A1:I85"/>
  <sheetViews>
    <sheetView showGridLines="0" topLeftCell="A13" zoomScaleNormal="100" workbookViewId="0">
      <selection activeCell="B16" sqref="B16"/>
    </sheetView>
  </sheetViews>
  <sheetFormatPr defaultColWidth="8.69140625" defaultRowHeight="10.35"/>
  <cols>
    <col min="1" max="1" width="11.53515625" style="1" customWidth="1"/>
    <col min="2" max="2" width="51.3828125" style="1" customWidth="1"/>
    <col min="3" max="3" width="8" style="95" customWidth="1"/>
    <col min="4" max="7" width="11.69140625" style="96" customWidth="1"/>
    <col min="8" max="8" width="17" style="96" customWidth="1"/>
    <col min="9" max="9" width="15.69140625" style="96" customWidth="1"/>
    <col min="10" max="16384" width="8.69140625" style="1"/>
  </cols>
  <sheetData>
    <row r="1" spans="1:9" s="2" customFormat="1" ht="18" customHeight="1">
      <c r="A1" s="205" t="str">
        <f>RESUMO!A1</f>
        <v>Apartamento Amadora</v>
      </c>
      <c r="B1" s="205"/>
      <c r="C1" s="205"/>
      <c r="D1" s="205"/>
      <c r="E1" s="205"/>
      <c r="F1" s="205"/>
      <c r="G1" s="205"/>
      <c r="H1" s="205"/>
    </row>
    <row r="2" spans="1:9" s="2" customFormat="1" ht="18" customHeight="1">
      <c r="A2" s="206" t="s">
        <v>23</v>
      </c>
      <c r="B2" s="206"/>
      <c r="C2" s="206"/>
      <c r="D2" s="206"/>
      <c r="E2" s="206"/>
      <c r="F2" s="206"/>
      <c r="G2" s="206"/>
      <c r="H2" s="206"/>
    </row>
    <row r="3" spans="1:9" s="2" customFormat="1" ht="18" customHeight="1">
      <c r="A3" s="206" t="s">
        <v>36</v>
      </c>
      <c r="B3" s="206"/>
      <c r="C3" s="206"/>
      <c r="D3" s="206"/>
      <c r="E3" s="206"/>
      <c r="F3" s="206"/>
      <c r="G3" s="206"/>
      <c r="H3" s="206"/>
    </row>
    <row r="4" spans="1:9" s="2" customFormat="1" ht="12" customHeight="1">
      <c r="A4" s="82"/>
      <c r="B4" s="47"/>
      <c r="C4" s="47"/>
      <c r="D4" s="83"/>
      <c r="E4" s="83"/>
      <c r="F4" s="83"/>
      <c r="G4" s="83"/>
      <c r="H4" s="83"/>
      <c r="I4" s="84"/>
    </row>
    <row r="5" spans="1:9" s="3" customFormat="1" ht="29.25" customHeight="1" thickBot="1">
      <c r="A5" s="118" t="s">
        <v>0</v>
      </c>
      <c r="B5" s="119" t="s">
        <v>1</v>
      </c>
      <c r="C5" s="120" t="s">
        <v>30</v>
      </c>
      <c r="D5" s="121" t="s">
        <v>31</v>
      </c>
      <c r="E5" s="122" t="s">
        <v>32</v>
      </c>
      <c r="F5" s="122" t="s">
        <v>33</v>
      </c>
      <c r="G5" s="119" t="s">
        <v>34</v>
      </c>
      <c r="H5" s="119" t="s">
        <v>35</v>
      </c>
      <c r="I5" s="123" t="s">
        <v>2</v>
      </c>
    </row>
    <row r="6" spans="1:9" ht="11.35">
      <c r="A6" s="85"/>
      <c r="B6" s="86"/>
      <c r="C6" s="87"/>
      <c r="D6" s="88"/>
      <c r="E6" s="88"/>
      <c r="F6" s="88"/>
      <c r="G6" s="89" t="str">
        <f>IF(C6=0,"",PRODUCT(C6:F6))</f>
        <v/>
      </c>
      <c r="H6" s="88"/>
      <c r="I6" s="90"/>
    </row>
    <row r="7" spans="1:9" ht="11.35">
      <c r="A7" s="33" t="s">
        <v>47</v>
      </c>
      <c r="B7" s="22" t="s">
        <v>49</v>
      </c>
      <c r="C7" s="92">
        <v>1</v>
      </c>
      <c r="D7" s="12">
        <v>8.5</v>
      </c>
      <c r="E7" s="12"/>
      <c r="F7" s="12">
        <v>1.6</v>
      </c>
      <c r="G7" s="93">
        <f t="shared" ref="G7:G69" si="0">IF(C7=0,".",PRODUCT(C7:F7))</f>
        <v>13.600000000000001</v>
      </c>
      <c r="H7" s="12"/>
      <c r="I7" s="94"/>
    </row>
    <row r="8" spans="1:9" ht="11.35">
      <c r="A8" s="91"/>
      <c r="B8" s="126"/>
      <c r="C8" s="92"/>
      <c r="D8" s="12"/>
      <c r="E8" s="12"/>
      <c r="F8" s="12"/>
      <c r="G8" s="124"/>
      <c r="H8" s="125"/>
      <c r="I8" s="94"/>
    </row>
    <row r="9" spans="1:9" ht="11.35">
      <c r="A9" s="91"/>
      <c r="B9" s="126"/>
      <c r="C9" s="92"/>
      <c r="D9" s="12"/>
      <c r="E9" s="12"/>
      <c r="F9" s="12"/>
      <c r="G9" s="93" t="str">
        <f t="shared" si="0"/>
        <v>.</v>
      </c>
      <c r="H9" s="12">
        <f>SUM(G7:G8)</f>
        <v>13.600000000000001</v>
      </c>
      <c r="I9" s="94"/>
    </row>
    <row r="10" spans="1:9" ht="11.35">
      <c r="A10" s="91"/>
      <c r="B10" s="126"/>
      <c r="C10" s="92"/>
      <c r="D10" s="12"/>
      <c r="E10" s="12"/>
      <c r="F10" s="12"/>
      <c r="G10" s="93" t="str">
        <f t="shared" si="0"/>
        <v>.</v>
      </c>
      <c r="H10" s="12"/>
      <c r="I10" s="94"/>
    </row>
    <row r="11" spans="1:9" ht="11.35">
      <c r="A11" s="91"/>
      <c r="B11" s="126"/>
      <c r="C11" s="92"/>
      <c r="D11" s="12"/>
      <c r="E11" s="12"/>
      <c r="F11" s="12"/>
      <c r="G11" s="93" t="str">
        <f t="shared" si="0"/>
        <v>.</v>
      </c>
      <c r="H11" s="12"/>
      <c r="I11" s="94"/>
    </row>
    <row r="12" spans="1:9" ht="22.7">
      <c r="A12" s="91"/>
      <c r="B12" s="25" t="s">
        <v>53</v>
      </c>
      <c r="C12" s="92">
        <v>1</v>
      </c>
      <c r="D12" s="12">
        <v>8.5</v>
      </c>
      <c r="E12" s="12"/>
      <c r="F12" s="12">
        <v>2.5</v>
      </c>
      <c r="G12" s="93">
        <f t="shared" ref="G12:G14" si="1">IF(C12=0,".",PRODUCT(C12:F12))</f>
        <v>21.25</v>
      </c>
      <c r="H12" s="12"/>
      <c r="I12" s="94"/>
    </row>
    <row r="13" spans="1:9" ht="11.35">
      <c r="A13" s="91"/>
      <c r="B13" s="126"/>
      <c r="C13" s="92"/>
      <c r="D13" s="12"/>
      <c r="E13" s="12"/>
      <c r="F13" s="12"/>
      <c r="G13" s="124" t="str">
        <f t="shared" si="1"/>
        <v>.</v>
      </c>
      <c r="H13" s="125"/>
      <c r="I13" s="94"/>
    </row>
    <row r="14" spans="1:9" ht="11.35">
      <c r="A14" s="91"/>
      <c r="B14" s="11"/>
      <c r="C14" s="92"/>
      <c r="D14" s="12"/>
      <c r="E14" s="12"/>
      <c r="F14" s="12"/>
      <c r="G14" s="93" t="str">
        <f t="shared" si="1"/>
        <v>.</v>
      </c>
      <c r="H14" s="12">
        <f>SUM(G12:G13)</f>
        <v>21.25</v>
      </c>
      <c r="I14" s="94"/>
    </row>
    <row r="15" spans="1:9" ht="11.35">
      <c r="A15" s="91"/>
      <c r="B15" s="11"/>
      <c r="C15" s="92"/>
      <c r="D15" s="12"/>
      <c r="E15" s="12"/>
      <c r="F15" s="12"/>
      <c r="G15" s="93" t="str">
        <f t="shared" si="0"/>
        <v>.</v>
      </c>
      <c r="H15" s="12"/>
      <c r="I15" s="94"/>
    </row>
    <row r="16" spans="1:9" ht="22.7">
      <c r="A16" s="91"/>
      <c r="B16" s="25" t="s">
        <v>54</v>
      </c>
      <c r="C16" s="92">
        <v>1.1000000000000001</v>
      </c>
      <c r="D16" s="12">
        <v>1.18</v>
      </c>
      <c r="E16" s="12">
        <v>0.73</v>
      </c>
      <c r="F16" s="12"/>
      <c r="G16" s="93">
        <f t="shared" si="0"/>
        <v>0.94754000000000005</v>
      </c>
      <c r="H16" s="12"/>
      <c r="I16" s="94"/>
    </row>
    <row r="17" spans="1:9" ht="11.35">
      <c r="A17" s="91"/>
      <c r="B17" s="160"/>
      <c r="C17" s="92">
        <v>1.1000000000000001</v>
      </c>
      <c r="D17" s="12">
        <v>2.1</v>
      </c>
      <c r="E17" s="12">
        <v>1.1000000000000001</v>
      </c>
      <c r="F17" s="12"/>
      <c r="G17" s="93">
        <f t="shared" si="0"/>
        <v>2.5410000000000008</v>
      </c>
      <c r="H17" s="12"/>
      <c r="I17" s="94"/>
    </row>
    <row r="18" spans="1:9" ht="11.35">
      <c r="A18" s="91"/>
      <c r="B18" s="160"/>
      <c r="C18" s="92">
        <v>1.1000000000000001</v>
      </c>
      <c r="D18" s="12" t="s">
        <v>51</v>
      </c>
      <c r="E18" s="12">
        <v>0.22</v>
      </c>
      <c r="F18" s="12"/>
      <c r="G18" s="93">
        <f t="shared" si="0"/>
        <v>0.24200000000000002</v>
      </c>
      <c r="H18" s="12"/>
      <c r="I18" s="94"/>
    </row>
    <row r="19" spans="1:9" ht="11.35">
      <c r="A19" s="91"/>
      <c r="B19" s="160"/>
      <c r="C19" s="92">
        <v>1.1000000000000001</v>
      </c>
      <c r="D19" s="12">
        <v>0.91</v>
      </c>
      <c r="E19" s="12" t="s">
        <v>52</v>
      </c>
      <c r="F19" s="12"/>
      <c r="G19" s="93">
        <f t="shared" si="0"/>
        <v>1.0010000000000001</v>
      </c>
      <c r="H19" s="12"/>
      <c r="I19" s="94"/>
    </row>
    <row r="20" spans="1:9" ht="11.35">
      <c r="A20" s="91"/>
      <c r="B20" s="11"/>
      <c r="C20" s="92"/>
      <c r="D20" s="12"/>
      <c r="E20" s="12"/>
      <c r="F20" s="12"/>
      <c r="G20" s="161" t="str">
        <f t="shared" si="0"/>
        <v>.</v>
      </c>
      <c r="H20" s="162">
        <f>SUM(G16:G19)</f>
        <v>4.7315400000000007</v>
      </c>
      <c r="I20" s="94"/>
    </row>
    <row r="21" spans="1:9" ht="11.35">
      <c r="A21" s="91"/>
      <c r="B21" s="11"/>
      <c r="C21" s="92"/>
      <c r="D21" s="12"/>
      <c r="E21" s="12"/>
      <c r="F21" s="12"/>
      <c r="G21" s="93" t="str">
        <f t="shared" si="0"/>
        <v>.</v>
      </c>
      <c r="H21" s="12"/>
      <c r="I21" s="94"/>
    </row>
    <row r="22" spans="1:9" ht="11.35">
      <c r="A22" s="91"/>
      <c r="B22" s="11"/>
      <c r="C22" s="92"/>
      <c r="D22" s="12"/>
      <c r="E22" s="12"/>
      <c r="F22" s="12"/>
      <c r="G22" s="93" t="str">
        <f t="shared" si="0"/>
        <v>.</v>
      </c>
      <c r="H22" s="12"/>
      <c r="I22" s="94"/>
    </row>
    <row r="23" spans="1:9" ht="11.35">
      <c r="A23" s="91"/>
      <c r="B23" s="11"/>
      <c r="C23" s="92"/>
      <c r="D23" s="12"/>
      <c r="E23" s="12"/>
      <c r="F23" s="12"/>
      <c r="G23" s="93" t="str">
        <f t="shared" si="0"/>
        <v>.</v>
      </c>
      <c r="H23" s="12"/>
      <c r="I23" s="94"/>
    </row>
    <row r="24" spans="1:9" ht="11.35">
      <c r="A24" s="91"/>
      <c r="B24" s="11"/>
      <c r="C24" s="92"/>
      <c r="D24" s="12"/>
      <c r="E24" s="12"/>
      <c r="F24" s="12"/>
      <c r="G24" s="93" t="str">
        <f t="shared" si="0"/>
        <v>.</v>
      </c>
      <c r="H24" s="12"/>
      <c r="I24" s="94"/>
    </row>
    <row r="25" spans="1:9" ht="11.35">
      <c r="A25" s="91"/>
      <c r="B25" s="11"/>
      <c r="C25" s="92"/>
      <c r="D25" s="12"/>
      <c r="E25" s="12"/>
      <c r="F25" s="12"/>
      <c r="G25" s="93" t="str">
        <f t="shared" si="0"/>
        <v>.</v>
      </c>
      <c r="H25" s="12"/>
      <c r="I25" s="94"/>
    </row>
    <row r="26" spans="1:9" ht="11.35">
      <c r="A26" s="91"/>
      <c r="B26" s="11"/>
      <c r="C26" s="92"/>
      <c r="D26" s="12"/>
      <c r="E26" s="12"/>
      <c r="F26" s="12"/>
      <c r="G26" s="93" t="str">
        <f t="shared" si="0"/>
        <v>.</v>
      </c>
      <c r="H26" s="12"/>
      <c r="I26" s="94"/>
    </row>
    <row r="27" spans="1:9" ht="11.35">
      <c r="A27" s="91"/>
      <c r="B27" s="11"/>
      <c r="C27" s="92"/>
      <c r="D27" s="12"/>
      <c r="E27" s="12"/>
      <c r="F27" s="12"/>
      <c r="G27" s="93" t="str">
        <f t="shared" si="0"/>
        <v>.</v>
      </c>
      <c r="H27" s="12"/>
      <c r="I27" s="94"/>
    </row>
    <row r="28" spans="1:9" ht="11.35">
      <c r="A28" s="91"/>
      <c r="B28" s="11"/>
      <c r="C28" s="92"/>
      <c r="D28" s="12"/>
      <c r="E28" s="12"/>
      <c r="F28" s="12"/>
      <c r="G28" s="93" t="str">
        <f t="shared" si="0"/>
        <v>.</v>
      </c>
      <c r="H28" s="12"/>
      <c r="I28" s="94"/>
    </row>
    <row r="29" spans="1:9" ht="11.35">
      <c r="A29" s="91"/>
      <c r="B29" s="11"/>
      <c r="C29" s="92"/>
      <c r="D29" s="12"/>
      <c r="E29" s="12"/>
      <c r="F29" s="12"/>
      <c r="G29" s="93" t="str">
        <f t="shared" si="0"/>
        <v>.</v>
      </c>
      <c r="H29" s="12"/>
      <c r="I29" s="94"/>
    </row>
    <row r="30" spans="1:9" ht="11.35">
      <c r="A30" s="91"/>
      <c r="B30" s="11"/>
      <c r="C30" s="92"/>
      <c r="D30" s="12"/>
      <c r="E30" s="12"/>
      <c r="F30" s="12"/>
      <c r="G30" s="93" t="str">
        <f t="shared" si="0"/>
        <v>.</v>
      </c>
      <c r="H30" s="12"/>
      <c r="I30" s="94"/>
    </row>
    <row r="31" spans="1:9" ht="11.35">
      <c r="A31" s="91"/>
      <c r="B31" s="11"/>
      <c r="C31" s="92"/>
      <c r="D31" s="12"/>
      <c r="E31" s="12"/>
      <c r="F31" s="12"/>
      <c r="G31" s="93" t="str">
        <f t="shared" si="0"/>
        <v>.</v>
      </c>
      <c r="H31" s="12"/>
      <c r="I31" s="94"/>
    </row>
    <row r="32" spans="1:9" ht="11.35">
      <c r="A32" s="91"/>
      <c r="B32" s="11"/>
      <c r="C32" s="92"/>
      <c r="D32" s="12"/>
      <c r="E32" s="12"/>
      <c r="F32" s="12"/>
      <c r="G32" s="93" t="str">
        <f t="shared" si="0"/>
        <v>.</v>
      </c>
      <c r="H32" s="12"/>
      <c r="I32" s="94"/>
    </row>
    <row r="33" spans="1:9" ht="11.35">
      <c r="A33" s="91"/>
      <c r="B33" s="11"/>
      <c r="C33" s="92"/>
      <c r="D33" s="12"/>
      <c r="E33" s="12"/>
      <c r="F33" s="12"/>
      <c r="G33" s="93" t="str">
        <f t="shared" si="0"/>
        <v>.</v>
      </c>
      <c r="H33" s="12"/>
      <c r="I33" s="94"/>
    </row>
    <row r="34" spans="1:9" ht="11.35">
      <c r="A34" s="91"/>
      <c r="B34" s="11"/>
      <c r="C34" s="92"/>
      <c r="D34" s="12"/>
      <c r="E34" s="12"/>
      <c r="F34" s="12"/>
      <c r="G34" s="93" t="str">
        <f t="shared" si="0"/>
        <v>.</v>
      </c>
      <c r="H34" s="12"/>
      <c r="I34" s="94"/>
    </row>
    <row r="35" spans="1:9" ht="11.35">
      <c r="A35" s="91"/>
      <c r="B35" s="11"/>
      <c r="C35" s="92"/>
      <c r="D35" s="12"/>
      <c r="E35" s="12"/>
      <c r="F35" s="12"/>
      <c r="G35" s="93" t="str">
        <f t="shared" si="0"/>
        <v>.</v>
      </c>
      <c r="H35" s="12"/>
      <c r="I35" s="94"/>
    </row>
    <row r="36" spans="1:9" ht="11.35">
      <c r="A36" s="91"/>
      <c r="B36" s="11"/>
      <c r="C36" s="92"/>
      <c r="D36" s="12"/>
      <c r="E36" s="12"/>
      <c r="F36" s="12"/>
      <c r="G36" s="93" t="str">
        <f t="shared" si="0"/>
        <v>.</v>
      </c>
      <c r="H36" s="12"/>
      <c r="I36" s="94"/>
    </row>
    <row r="37" spans="1:9" ht="11.35">
      <c r="A37" s="91"/>
      <c r="B37" s="11"/>
      <c r="C37" s="92"/>
      <c r="D37" s="12"/>
      <c r="E37" s="12"/>
      <c r="F37" s="12"/>
      <c r="G37" s="93" t="str">
        <f t="shared" si="0"/>
        <v>.</v>
      </c>
      <c r="H37" s="12"/>
      <c r="I37" s="94"/>
    </row>
    <row r="38" spans="1:9" ht="11.35">
      <c r="A38" s="91"/>
      <c r="B38" s="11"/>
      <c r="C38" s="92"/>
      <c r="D38" s="12"/>
      <c r="E38" s="12"/>
      <c r="F38" s="12"/>
      <c r="G38" s="93" t="str">
        <f t="shared" si="0"/>
        <v>.</v>
      </c>
      <c r="H38" s="12"/>
      <c r="I38" s="94"/>
    </row>
    <row r="39" spans="1:9" ht="11.35">
      <c r="A39" s="91"/>
      <c r="B39" s="11"/>
      <c r="C39" s="92"/>
      <c r="D39" s="12"/>
      <c r="E39" s="12"/>
      <c r="F39" s="12"/>
      <c r="G39" s="93" t="str">
        <f t="shared" si="0"/>
        <v>.</v>
      </c>
      <c r="H39" s="12"/>
      <c r="I39" s="94"/>
    </row>
    <row r="40" spans="1:9" ht="11.35">
      <c r="A40" s="91"/>
      <c r="B40" s="11"/>
      <c r="C40" s="92"/>
      <c r="D40" s="12"/>
      <c r="E40" s="12"/>
      <c r="F40" s="12"/>
      <c r="G40" s="93" t="str">
        <f t="shared" si="0"/>
        <v>.</v>
      </c>
      <c r="H40" s="12"/>
      <c r="I40" s="94"/>
    </row>
    <row r="41" spans="1:9" ht="11.35">
      <c r="A41" s="91"/>
      <c r="B41" s="11"/>
      <c r="C41" s="92"/>
      <c r="D41" s="12"/>
      <c r="E41" s="12"/>
      <c r="F41" s="12"/>
      <c r="G41" s="93" t="str">
        <f t="shared" si="0"/>
        <v>.</v>
      </c>
      <c r="H41" s="12"/>
      <c r="I41" s="94"/>
    </row>
    <row r="42" spans="1:9" ht="11.35">
      <c r="A42" s="91"/>
      <c r="B42" s="11"/>
      <c r="C42" s="92"/>
      <c r="D42" s="12"/>
      <c r="E42" s="12"/>
      <c r="F42" s="12"/>
      <c r="G42" s="93" t="str">
        <f t="shared" si="0"/>
        <v>.</v>
      </c>
      <c r="H42" s="12"/>
      <c r="I42" s="94"/>
    </row>
    <row r="43" spans="1:9" ht="11.35">
      <c r="A43" s="91"/>
      <c r="B43" s="11"/>
      <c r="C43" s="92"/>
      <c r="D43" s="12"/>
      <c r="E43" s="12"/>
      <c r="F43" s="12"/>
      <c r="G43" s="93" t="str">
        <f t="shared" si="0"/>
        <v>.</v>
      </c>
      <c r="H43" s="12"/>
      <c r="I43" s="94"/>
    </row>
    <row r="44" spans="1:9" ht="11.35">
      <c r="A44" s="91"/>
      <c r="B44" s="11"/>
      <c r="C44" s="92"/>
      <c r="D44" s="12"/>
      <c r="E44" s="12"/>
      <c r="F44" s="12"/>
      <c r="G44" s="93" t="str">
        <f t="shared" si="0"/>
        <v>.</v>
      </c>
      <c r="H44" s="12"/>
      <c r="I44" s="94"/>
    </row>
    <row r="45" spans="1:9" ht="11.35">
      <c r="A45" s="91"/>
      <c r="B45" s="11"/>
      <c r="C45" s="92"/>
      <c r="D45" s="12"/>
      <c r="E45" s="12"/>
      <c r="F45" s="12"/>
      <c r="G45" s="93" t="str">
        <f t="shared" si="0"/>
        <v>.</v>
      </c>
      <c r="H45" s="12"/>
      <c r="I45" s="94"/>
    </row>
    <row r="46" spans="1:9" ht="11.35">
      <c r="A46" s="91"/>
      <c r="B46" s="11"/>
      <c r="C46" s="92"/>
      <c r="D46" s="12"/>
      <c r="E46" s="12"/>
      <c r="F46" s="12"/>
      <c r="G46" s="93" t="str">
        <f t="shared" si="0"/>
        <v>.</v>
      </c>
      <c r="H46" s="12"/>
      <c r="I46" s="94"/>
    </row>
    <row r="47" spans="1:9" ht="11.35">
      <c r="A47" s="91"/>
      <c r="B47" s="11"/>
      <c r="C47" s="92"/>
      <c r="D47" s="12"/>
      <c r="E47" s="12"/>
      <c r="F47" s="12"/>
      <c r="G47" s="93" t="str">
        <f t="shared" si="0"/>
        <v>.</v>
      </c>
      <c r="H47" s="12"/>
      <c r="I47" s="94"/>
    </row>
    <row r="48" spans="1:9" ht="11.35">
      <c r="A48" s="91"/>
      <c r="B48" s="11"/>
      <c r="C48" s="92"/>
      <c r="D48" s="12"/>
      <c r="E48" s="12"/>
      <c r="F48" s="12"/>
      <c r="G48" s="93" t="str">
        <f t="shared" si="0"/>
        <v>.</v>
      </c>
      <c r="H48" s="12"/>
      <c r="I48" s="94"/>
    </row>
    <row r="49" spans="1:9" ht="11.35">
      <c r="A49" s="91"/>
      <c r="B49" s="11"/>
      <c r="C49" s="92"/>
      <c r="D49" s="12"/>
      <c r="E49" s="12"/>
      <c r="F49" s="12"/>
      <c r="G49" s="93" t="str">
        <f t="shared" si="0"/>
        <v>.</v>
      </c>
      <c r="H49" s="12"/>
      <c r="I49" s="94"/>
    </row>
    <row r="50" spans="1:9" ht="11.35">
      <c r="A50" s="91"/>
      <c r="B50" s="11"/>
      <c r="C50" s="92"/>
      <c r="D50" s="12"/>
      <c r="E50" s="12"/>
      <c r="F50" s="12"/>
      <c r="G50" s="93" t="str">
        <f t="shared" si="0"/>
        <v>.</v>
      </c>
      <c r="H50" s="12"/>
      <c r="I50" s="94"/>
    </row>
    <row r="51" spans="1:9" ht="11.35">
      <c r="A51" s="91"/>
      <c r="B51" s="11"/>
      <c r="C51" s="92"/>
      <c r="D51" s="12"/>
      <c r="E51" s="12"/>
      <c r="F51" s="12"/>
      <c r="G51" s="93" t="str">
        <f t="shared" si="0"/>
        <v>.</v>
      </c>
      <c r="H51" s="12"/>
      <c r="I51" s="94"/>
    </row>
    <row r="52" spans="1:9" ht="11.35">
      <c r="A52" s="91"/>
      <c r="B52" s="11"/>
      <c r="C52" s="92"/>
      <c r="D52" s="12"/>
      <c r="E52" s="12"/>
      <c r="F52" s="12"/>
      <c r="G52" s="93" t="str">
        <f t="shared" si="0"/>
        <v>.</v>
      </c>
      <c r="H52" s="12"/>
      <c r="I52" s="94"/>
    </row>
    <row r="53" spans="1:9" ht="11.35">
      <c r="A53" s="91"/>
      <c r="B53" s="11"/>
      <c r="C53" s="92"/>
      <c r="D53" s="12"/>
      <c r="E53" s="12"/>
      <c r="F53" s="12"/>
      <c r="G53" s="93" t="str">
        <f t="shared" si="0"/>
        <v>.</v>
      </c>
      <c r="H53" s="12"/>
      <c r="I53" s="94"/>
    </row>
    <row r="54" spans="1:9" ht="11.35">
      <c r="A54" s="91"/>
      <c r="B54" s="11"/>
      <c r="C54" s="92"/>
      <c r="D54" s="12"/>
      <c r="E54" s="12"/>
      <c r="F54" s="12"/>
      <c r="G54" s="93" t="str">
        <f t="shared" si="0"/>
        <v>.</v>
      </c>
      <c r="H54" s="12"/>
      <c r="I54" s="94"/>
    </row>
    <row r="55" spans="1:9" ht="11.35">
      <c r="A55" s="91"/>
      <c r="B55" s="11"/>
      <c r="C55" s="92"/>
      <c r="D55" s="12"/>
      <c r="E55" s="12"/>
      <c r="F55" s="12"/>
      <c r="G55" s="93" t="str">
        <f t="shared" si="0"/>
        <v>.</v>
      </c>
      <c r="H55" s="12"/>
      <c r="I55" s="94"/>
    </row>
    <row r="56" spans="1:9" ht="11.35">
      <c r="A56" s="91"/>
      <c r="B56" s="11"/>
      <c r="C56" s="92"/>
      <c r="D56" s="12"/>
      <c r="E56" s="12"/>
      <c r="F56" s="12"/>
      <c r="G56" s="93" t="str">
        <f t="shared" si="0"/>
        <v>.</v>
      </c>
      <c r="H56" s="12"/>
      <c r="I56" s="94"/>
    </row>
    <row r="57" spans="1:9" ht="11.35">
      <c r="A57" s="91"/>
      <c r="B57" s="11"/>
      <c r="C57" s="92"/>
      <c r="D57" s="12"/>
      <c r="E57" s="12"/>
      <c r="F57" s="12"/>
      <c r="G57" s="93" t="str">
        <f t="shared" si="0"/>
        <v>.</v>
      </c>
      <c r="H57" s="12"/>
      <c r="I57" s="94"/>
    </row>
    <row r="58" spans="1:9" ht="11.35">
      <c r="A58" s="91"/>
      <c r="B58" s="11"/>
      <c r="C58" s="92"/>
      <c r="D58" s="12"/>
      <c r="E58" s="12"/>
      <c r="F58" s="12"/>
      <c r="G58" s="93" t="str">
        <f t="shared" si="0"/>
        <v>.</v>
      </c>
      <c r="H58" s="12"/>
      <c r="I58" s="94"/>
    </row>
    <row r="59" spans="1:9" ht="11.35">
      <c r="A59" s="91"/>
      <c r="B59" s="11"/>
      <c r="C59" s="92"/>
      <c r="D59" s="12"/>
      <c r="E59" s="12"/>
      <c r="F59" s="12"/>
      <c r="G59" s="93" t="str">
        <f t="shared" si="0"/>
        <v>.</v>
      </c>
      <c r="H59" s="12"/>
      <c r="I59" s="94"/>
    </row>
    <row r="60" spans="1:9" ht="11.35">
      <c r="A60" s="91"/>
      <c r="B60" s="11"/>
      <c r="C60" s="92"/>
      <c r="D60" s="12"/>
      <c r="E60" s="12"/>
      <c r="F60" s="12"/>
      <c r="G60" s="93" t="str">
        <f t="shared" si="0"/>
        <v>.</v>
      </c>
      <c r="H60" s="12"/>
      <c r="I60" s="94"/>
    </row>
    <row r="61" spans="1:9" ht="11.35">
      <c r="A61" s="91"/>
      <c r="B61" s="11"/>
      <c r="C61" s="92"/>
      <c r="D61" s="12"/>
      <c r="E61" s="12"/>
      <c r="F61" s="12"/>
      <c r="G61" s="93" t="str">
        <f t="shared" si="0"/>
        <v>.</v>
      </c>
      <c r="H61" s="12"/>
      <c r="I61" s="94"/>
    </row>
    <row r="62" spans="1:9" ht="11.35">
      <c r="A62" s="91"/>
      <c r="B62" s="11"/>
      <c r="C62" s="92"/>
      <c r="D62" s="12"/>
      <c r="E62" s="12"/>
      <c r="F62" s="12"/>
      <c r="G62" s="93" t="str">
        <f t="shared" si="0"/>
        <v>.</v>
      </c>
      <c r="H62" s="12"/>
      <c r="I62" s="94"/>
    </row>
    <row r="63" spans="1:9" ht="11.35">
      <c r="A63" s="91"/>
      <c r="B63" s="11"/>
      <c r="C63" s="92"/>
      <c r="D63" s="12"/>
      <c r="E63" s="12"/>
      <c r="F63" s="12"/>
      <c r="G63" s="93" t="str">
        <f t="shared" si="0"/>
        <v>.</v>
      </c>
      <c r="H63" s="12"/>
      <c r="I63" s="94"/>
    </row>
    <row r="64" spans="1:9" ht="11.35">
      <c r="A64" s="91"/>
      <c r="B64" s="11"/>
      <c r="C64" s="92"/>
      <c r="D64" s="12"/>
      <c r="E64" s="12"/>
      <c r="F64" s="12"/>
      <c r="G64" s="93" t="str">
        <f t="shared" si="0"/>
        <v>.</v>
      </c>
      <c r="H64" s="12"/>
      <c r="I64" s="94"/>
    </row>
    <row r="65" spans="1:9" ht="11.35">
      <c r="A65" s="91"/>
      <c r="B65" s="11"/>
      <c r="C65" s="92"/>
      <c r="D65" s="12"/>
      <c r="E65" s="12"/>
      <c r="F65" s="12"/>
      <c r="G65" s="93" t="str">
        <f t="shared" si="0"/>
        <v>.</v>
      </c>
      <c r="H65" s="12"/>
      <c r="I65" s="94"/>
    </row>
    <row r="66" spans="1:9" ht="11.35">
      <c r="A66" s="91"/>
      <c r="B66" s="11"/>
      <c r="C66" s="92"/>
      <c r="D66" s="12"/>
      <c r="E66" s="12"/>
      <c r="F66" s="12"/>
      <c r="G66" s="93" t="str">
        <f t="shared" si="0"/>
        <v>.</v>
      </c>
      <c r="H66" s="12"/>
      <c r="I66" s="94"/>
    </row>
    <row r="67" spans="1:9" ht="11.35">
      <c r="A67" s="91"/>
      <c r="B67" s="11"/>
      <c r="C67" s="92"/>
      <c r="D67" s="12"/>
      <c r="E67" s="12"/>
      <c r="F67" s="12"/>
      <c r="G67" s="93" t="str">
        <f t="shared" si="0"/>
        <v>.</v>
      </c>
      <c r="H67" s="12"/>
      <c r="I67" s="94"/>
    </row>
    <row r="68" spans="1:9" ht="11.35">
      <c r="A68" s="91"/>
      <c r="B68" s="11"/>
      <c r="C68" s="92"/>
      <c r="D68" s="12"/>
      <c r="E68" s="12"/>
      <c r="F68" s="12"/>
      <c r="G68" s="93" t="str">
        <f t="shared" si="0"/>
        <v>.</v>
      </c>
      <c r="H68" s="12"/>
      <c r="I68" s="94"/>
    </row>
    <row r="69" spans="1:9" ht="11.35">
      <c r="A69" s="91"/>
      <c r="B69" s="11"/>
      <c r="C69" s="92"/>
      <c r="D69" s="12"/>
      <c r="E69" s="12"/>
      <c r="F69" s="12"/>
      <c r="G69" s="93" t="str">
        <f t="shared" si="0"/>
        <v>.</v>
      </c>
      <c r="H69" s="12"/>
      <c r="I69" s="94"/>
    </row>
    <row r="70" spans="1:9" ht="11.35">
      <c r="A70" s="91"/>
      <c r="B70" s="11"/>
      <c r="C70" s="92"/>
      <c r="D70" s="12"/>
      <c r="E70" s="12"/>
      <c r="F70" s="12"/>
      <c r="G70" s="93" t="str">
        <f t="shared" ref="G70:G85" si="2">IF(C70=0,".",PRODUCT(C70:F70))</f>
        <v>.</v>
      </c>
      <c r="H70" s="12"/>
      <c r="I70" s="94"/>
    </row>
    <row r="71" spans="1:9" ht="11.35">
      <c r="A71" s="91"/>
      <c r="B71" s="11"/>
      <c r="C71" s="92"/>
      <c r="D71" s="12"/>
      <c r="E71" s="12"/>
      <c r="F71" s="12"/>
      <c r="G71" s="93" t="str">
        <f t="shared" si="2"/>
        <v>.</v>
      </c>
      <c r="H71" s="12"/>
      <c r="I71" s="94"/>
    </row>
    <row r="72" spans="1:9" ht="11.35">
      <c r="A72" s="91"/>
      <c r="B72" s="11"/>
      <c r="C72" s="92"/>
      <c r="D72" s="12"/>
      <c r="E72" s="12"/>
      <c r="F72" s="12"/>
      <c r="G72" s="93" t="str">
        <f t="shared" si="2"/>
        <v>.</v>
      </c>
      <c r="H72" s="12"/>
      <c r="I72" s="94"/>
    </row>
    <row r="73" spans="1:9" ht="11.35">
      <c r="A73" s="91"/>
      <c r="B73" s="11"/>
      <c r="C73" s="92"/>
      <c r="D73" s="12"/>
      <c r="E73" s="12"/>
      <c r="F73" s="12"/>
      <c r="G73" s="93" t="str">
        <f t="shared" si="2"/>
        <v>.</v>
      </c>
      <c r="H73" s="12"/>
      <c r="I73" s="94"/>
    </row>
    <row r="74" spans="1:9" ht="11.35">
      <c r="A74" s="91"/>
      <c r="B74" s="11"/>
      <c r="C74" s="92"/>
      <c r="D74" s="12"/>
      <c r="E74" s="12"/>
      <c r="F74" s="12"/>
      <c r="G74" s="93" t="str">
        <f t="shared" si="2"/>
        <v>.</v>
      </c>
      <c r="H74" s="12"/>
      <c r="I74" s="94"/>
    </row>
    <row r="75" spans="1:9" ht="11.35">
      <c r="A75" s="91"/>
      <c r="B75" s="11"/>
      <c r="C75" s="92"/>
      <c r="D75" s="12"/>
      <c r="E75" s="12"/>
      <c r="F75" s="12"/>
      <c r="G75" s="93" t="str">
        <f t="shared" si="2"/>
        <v>.</v>
      </c>
      <c r="H75" s="12"/>
      <c r="I75" s="94"/>
    </row>
    <row r="76" spans="1:9" ht="11.35">
      <c r="A76" s="91"/>
      <c r="B76" s="11"/>
      <c r="C76" s="92"/>
      <c r="D76" s="12"/>
      <c r="E76" s="12"/>
      <c r="F76" s="12"/>
      <c r="G76" s="93" t="str">
        <f t="shared" si="2"/>
        <v>.</v>
      </c>
      <c r="H76" s="12"/>
      <c r="I76" s="94"/>
    </row>
    <row r="77" spans="1:9" ht="11.35">
      <c r="A77" s="91"/>
      <c r="B77" s="11"/>
      <c r="C77" s="92"/>
      <c r="D77" s="12"/>
      <c r="E77" s="12"/>
      <c r="F77" s="12"/>
      <c r="G77" s="93" t="str">
        <f t="shared" si="2"/>
        <v>.</v>
      </c>
      <c r="H77" s="12"/>
      <c r="I77" s="94"/>
    </row>
    <row r="78" spans="1:9" ht="11.35">
      <c r="A78" s="91"/>
      <c r="B78" s="11"/>
      <c r="C78" s="92"/>
      <c r="D78" s="12"/>
      <c r="E78" s="12"/>
      <c r="F78" s="12"/>
      <c r="G78" s="93" t="str">
        <f t="shared" si="2"/>
        <v>.</v>
      </c>
      <c r="H78" s="12"/>
      <c r="I78" s="94"/>
    </row>
    <row r="79" spans="1:9" ht="11.35">
      <c r="A79" s="91"/>
      <c r="B79" s="11"/>
      <c r="C79" s="92"/>
      <c r="D79" s="12"/>
      <c r="E79" s="12"/>
      <c r="F79" s="12"/>
      <c r="G79" s="93" t="str">
        <f t="shared" si="2"/>
        <v>.</v>
      </c>
      <c r="H79" s="12"/>
      <c r="I79" s="94"/>
    </row>
    <row r="80" spans="1:9" ht="11.35">
      <c r="A80" s="91"/>
      <c r="B80" s="11"/>
      <c r="C80" s="92"/>
      <c r="D80" s="12"/>
      <c r="E80" s="12"/>
      <c r="F80" s="12"/>
      <c r="G80" s="93" t="str">
        <f t="shared" si="2"/>
        <v>.</v>
      </c>
      <c r="H80" s="12"/>
      <c r="I80" s="94"/>
    </row>
    <row r="81" spans="1:9" ht="11.35">
      <c r="A81" s="91"/>
      <c r="B81" s="11"/>
      <c r="C81" s="92"/>
      <c r="D81" s="12"/>
      <c r="E81" s="12"/>
      <c r="F81" s="12"/>
      <c r="G81" s="93" t="str">
        <f t="shared" si="2"/>
        <v>.</v>
      </c>
      <c r="H81" s="12"/>
      <c r="I81" s="94"/>
    </row>
    <row r="82" spans="1:9" ht="11.35">
      <c r="A82" s="91"/>
      <c r="B82" s="11"/>
      <c r="C82" s="92"/>
      <c r="D82" s="12"/>
      <c r="E82" s="12"/>
      <c r="F82" s="12"/>
      <c r="G82" s="93" t="str">
        <f t="shared" si="2"/>
        <v>.</v>
      </c>
      <c r="H82" s="12"/>
      <c r="I82" s="94"/>
    </row>
    <row r="83" spans="1:9" ht="11.35">
      <c r="A83" s="91"/>
      <c r="B83" s="11"/>
      <c r="C83" s="92"/>
      <c r="D83" s="12"/>
      <c r="E83" s="12"/>
      <c r="F83" s="12"/>
      <c r="G83" s="93" t="str">
        <f t="shared" si="2"/>
        <v>.</v>
      </c>
      <c r="H83" s="12"/>
      <c r="I83" s="94"/>
    </row>
    <row r="84" spans="1:9" ht="11.35">
      <c r="A84" s="91"/>
      <c r="B84" s="11"/>
      <c r="C84" s="92"/>
      <c r="D84" s="12"/>
      <c r="E84" s="12"/>
      <c r="F84" s="12"/>
      <c r="G84" s="93" t="str">
        <f t="shared" si="2"/>
        <v>.</v>
      </c>
      <c r="H84" s="12"/>
      <c r="I84" s="94"/>
    </row>
    <row r="85" spans="1:9" ht="11.35">
      <c r="A85" s="91"/>
      <c r="B85" s="11"/>
      <c r="C85" s="92"/>
      <c r="D85" s="12"/>
      <c r="E85" s="12"/>
      <c r="F85" s="12"/>
      <c r="G85" s="93" t="str">
        <f t="shared" si="2"/>
        <v>.</v>
      </c>
      <c r="H85" s="12"/>
      <c r="I85" s="94"/>
    </row>
  </sheetData>
  <mergeCells count="3">
    <mergeCell ref="A1:H1"/>
    <mergeCell ref="A2:H2"/>
    <mergeCell ref="A3:H3"/>
  </mergeCells>
  <printOptions horizontalCentered="1"/>
  <pageMargins left="0.39370078740157483" right="0.39370078740157483" top="1.1023622047244095" bottom="0.70866141732283472" header="0.19685039370078741" footer="0"/>
  <pageSetup paperSize="9" scale="75" fitToHeight="37" orientation="portrait" horizontalDpi="4294967295" r:id="rId1"/>
  <headerFooter alignWithMargins="0">
    <oddHeader>&amp;L&amp;G</oddHeader>
    <oddFooter>&amp;L&amp;"Arial,Normal"&amp;KEF5656&amp;D&amp;K01+022    &amp;K2D3543&amp;F       &amp;K01+022           
&amp;KEF5656Pg. &amp;P / &amp;N &amp;K01+022        &amp;K2D3543&amp;A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57B48-F6D3-4207-80EA-4CE21D737F28}">
  <sheetPr>
    <pageSetUpPr fitToPage="1"/>
  </sheetPr>
  <dimension ref="A1:D18"/>
  <sheetViews>
    <sheetView showGridLines="0" zoomScaleNormal="100" workbookViewId="0">
      <selection activeCell="A3" sqref="A3:D3"/>
    </sheetView>
  </sheetViews>
  <sheetFormatPr defaultRowHeight="10.35"/>
  <cols>
    <col min="1" max="1" width="11.53515625" style="4" customWidth="1"/>
    <col min="2" max="2" width="74.69140625" style="1" customWidth="1"/>
    <col min="3" max="3" width="17.69140625" style="57" customWidth="1"/>
    <col min="4" max="4" width="17.69140625" style="1" customWidth="1"/>
  </cols>
  <sheetData>
    <row r="1" spans="1:4" s="2" customFormat="1" ht="18" customHeight="1">
      <c r="A1" s="210" t="str">
        <f>RESUMO!A1</f>
        <v>Apartamento Amadora</v>
      </c>
      <c r="B1" s="210"/>
      <c r="C1" s="210"/>
      <c r="D1" s="210"/>
    </row>
    <row r="2" spans="1:4" s="2" customFormat="1" ht="18" customHeight="1">
      <c r="A2" s="206" t="str">
        <f>RESUMO!A2</f>
        <v>Mapa de quantidades</v>
      </c>
      <c r="B2" s="206"/>
      <c r="C2" s="206"/>
      <c r="D2" s="206"/>
    </row>
    <row r="3" spans="1:4" s="2" customFormat="1" ht="18" customHeight="1">
      <c r="A3" s="206" t="s">
        <v>12</v>
      </c>
      <c r="B3" s="206"/>
      <c r="C3" s="206"/>
      <c r="D3" s="206"/>
    </row>
    <row r="4" spans="1:4" s="2" customFormat="1" ht="12" customHeight="1">
      <c r="A4" s="18"/>
      <c r="B4" s="47"/>
      <c r="C4" s="55"/>
      <c r="D4" s="47"/>
    </row>
    <row r="5" spans="1:4" s="3" customFormat="1" ht="29.25" customHeight="1">
      <c r="A5" s="209" t="s">
        <v>13</v>
      </c>
      <c r="B5" s="209"/>
      <c r="C5" s="209"/>
      <c r="D5" s="209"/>
    </row>
    <row r="6" spans="1:4" s="1" customFormat="1" ht="11.35">
      <c r="A6" s="5"/>
      <c r="B6" s="6"/>
      <c r="C6" s="74"/>
      <c r="D6" s="37"/>
    </row>
    <row r="7" spans="1:4" s="1" customFormat="1" ht="11.7">
      <c r="A7" s="73"/>
      <c r="B7" s="71"/>
      <c r="C7" s="75" t="s">
        <v>21</v>
      </c>
      <c r="D7" s="76" t="s">
        <v>22</v>
      </c>
    </row>
    <row r="8" spans="1:4" s="1" customFormat="1" ht="11.7">
      <c r="A8" s="48"/>
      <c r="B8" s="49"/>
      <c r="C8" s="62"/>
      <c r="D8" s="59"/>
    </row>
    <row r="9" spans="1:4" s="1" customFormat="1" ht="11.7">
      <c r="A9" s="51" t="s">
        <v>19</v>
      </c>
      <c r="B9" s="50" t="s">
        <v>14</v>
      </c>
      <c r="C9" s="63" t="e">
        <f>RESUMO!C5</f>
        <v>#REF!</v>
      </c>
      <c r="D9" s="60" t="e">
        <f>C9-C$15</f>
        <v>#REF!</v>
      </c>
    </row>
    <row r="10" spans="1:4" s="1" customFormat="1" ht="11.7">
      <c r="A10" s="51" t="s">
        <v>20</v>
      </c>
      <c r="B10" s="50" t="s">
        <v>15</v>
      </c>
      <c r="C10" s="63" t="e">
        <f>SUM(RESUMO!C6:C34)/2</f>
        <v>#REF!</v>
      </c>
      <c r="D10" s="60" t="e">
        <f>C10-C$15</f>
        <v>#REF!</v>
      </c>
    </row>
    <row r="11" spans="1:4" s="1" customFormat="1" ht="11.7">
      <c r="A11" s="51" t="s">
        <v>17</v>
      </c>
      <c r="B11" s="50" t="s">
        <v>25</v>
      </c>
      <c r="C11" s="63" t="e">
        <f>#REF!</f>
        <v>#REF!</v>
      </c>
      <c r="D11" s="60" t="e">
        <f t="shared" ref="D11:D12" si="0">C11-C$15</f>
        <v>#REF!</v>
      </c>
    </row>
    <row r="12" spans="1:4" s="1" customFormat="1" ht="11.7">
      <c r="A12" s="51" t="s">
        <v>18</v>
      </c>
      <c r="B12" s="50" t="s">
        <v>26</v>
      </c>
      <c r="C12" s="63" t="e">
        <f>#REF!</f>
        <v>#REF!</v>
      </c>
      <c r="D12" s="60" t="e">
        <f t="shared" si="0"/>
        <v>#REF!</v>
      </c>
    </row>
    <row r="13" spans="1:4" s="1" customFormat="1" ht="11.7">
      <c r="A13" s="51"/>
      <c r="B13" s="50"/>
      <c r="C13" s="63"/>
      <c r="D13" s="37"/>
    </row>
    <row r="14" spans="1:4" s="1" customFormat="1" ht="11.7">
      <c r="A14" s="51"/>
      <c r="B14" s="50"/>
      <c r="C14" s="63"/>
      <c r="D14" s="37"/>
    </row>
    <row r="15" spans="1:4" s="1" customFormat="1" ht="11.7">
      <c r="A15" s="51" t="s">
        <v>27</v>
      </c>
      <c r="B15" s="49" t="s">
        <v>16</v>
      </c>
      <c r="C15" s="64" t="e">
        <f>#REF!</f>
        <v>#REF!</v>
      </c>
      <c r="D15" s="59"/>
    </row>
    <row r="16" spans="1:4" s="1" customFormat="1" ht="11.7">
      <c r="A16" s="48"/>
      <c r="B16" s="49"/>
      <c r="C16" s="62"/>
      <c r="D16" s="59"/>
    </row>
    <row r="17" spans="1:4" s="1" customFormat="1" ht="11.35">
      <c r="A17" s="52"/>
      <c r="B17" s="53"/>
      <c r="C17" s="54"/>
      <c r="D17" s="61"/>
    </row>
    <row r="18" spans="1:4" s="1" customFormat="1" ht="11.7">
      <c r="A18" s="73"/>
      <c r="B18" s="71"/>
      <c r="C18" s="72"/>
      <c r="D18" s="77"/>
    </row>
  </sheetData>
  <mergeCells count="4">
    <mergeCell ref="A5:D5"/>
    <mergeCell ref="A1:D1"/>
    <mergeCell ref="A2:D2"/>
    <mergeCell ref="A3:D3"/>
  </mergeCells>
  <conditionalFormatting sqref="C9:C14">
    <cfRule type="expression" dxfId="2" priority="3">
      <formula>"&lt;&gt;$C$13"</formula>
    </cfRule>
  </conditionalFormatting>
  <conditionalFormatting sqref="D9:D12">
    <cfRule type="cellIs" dxfId="1" priority="1" operator="notEqual">
      <formula>0</formula>
    </cfRule>
    <cfRule type="cellIs" dxfId="0" priority="2" operator="equal">
      <formula>0</formula>
    </cfRule>
  </conditionalFormatting>
  <printOptions horizontalCentered="1"/>
  <pageMargins left="0.70866141732283472" right="0.70866141732283472" top="1.3385826771653544" bottom="0.94488188976377963" header="0.31496062992125984" footer="0.19685039370078741"/>
  <pageSetup paperSize="9" scale="66" fitToHeight="0" orientation="portrait" r:id="rId1"/>
  <headerFooter>
    <oddHeader>&amp;L&amp;G</oddHeader>
    <oddFooter xml:space="preserve">&amp;L&amp;"Arial,Normal"&amp;7&amp;KEF5656&amp;D    &amp;K2D3543&amp;F    &amp;KEF5656
Pg. &amp;P / &amp;N    &amp;K2D3543&amp;A  &amp;KEF5656  &amp;K2B2B43  &amp;8&amp;K01+026
</oddFooter>
  </headerFooter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894c06-4124-4d7e-83c0-b00cf85865f4">
      <Terms xmlns="http://schemas.microsoft.com/office/infopath/2007/PartnerControls"/>
    </lcf76f155ced4ddcb4097134ff3c332f>
    <TaxCatchAll xmlns="2ebd080a-30ce-43e4-935a-b99c6de03ec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49AA029C439744F8911A533C2253B4A" ma:contentTypeVersion="12" ma:contentTypeDescription="Crie um novo documento." ma:contentTypeScope="" ma:versionID="2f36ae4262e25bb09acbca2d1bc0c286">
  <xsd:schema xmlns:xsd="http://www.w3.org/2001/XMLSchema" xmlns:xs="http://www.w3.org/2001/XMLSchema" xmlns:p="http://schemas.microsoft.com/office/2006/metadata/properties" xmlns:ns2="34894c06-4124-4d7e-83c0-b00cf85865f4" xmlns:ns3="2ebd080a-30ce-43e4-935a-b99c6de03ec1" targetNamespace="http://schemas.microsoft.com/office/2006/metadata/properties" ma:root="true" ma:fieldsID="ce3b4141ac2f0dee32d5eaefcb890ea6" ns2:_="" ns3:_="">
    <xsd:import namespace="34894c06-4124-4d7e-83c0-b00cf85865f4"/>
    <xsd:import namespace="2ebd080a-30ce-43e4-935a-b99c6de03e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894c06-4124-4d7e-83c0-b00cf85865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9e9883b9-8983-4518-a473-9a0048d3b5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bd080a-30ce-43e4-935a-b99c6de03ec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8459f8a-1ea0-46cf-b185-8ef1253cfc92}" ma:internalName="TaxCatchAll" ma:showField="CatchAllData" ma:web="2ebd080a-30ce-43e4-935a-b99c6de03e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7ED840-2321-4CAD-86DF-6D141300826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2277869-9729-482A-986F-413E492E158C}">
  <ds:schemaRefs>
    <ds:schemaRef ds:uri="http://purl.org/dc/elements/1.1/"/>
    <ds:schemaRef ds:uri="http://schemas.microsoft.com/office/2006/metadata/properties"/>
    <ds:schemaRef ds:uri="3ca0b1b7-c5d4-4288-b971-55b8cae1585c"/>
    <ds:schemaRef ds:uri="http://purl.org/dc/terms/"/>
    <ds:schemaRef ds:uri="http://schemas.microsoft.com/office/infopath/2007/PartnerControls"/>
    <ds:schemaRef ds:uri="http://schemas.microsoft.com/office/2006/documentManagement/types"/>
    <ds:schemaRef ds:uri="4b8434d7-5edd-472b-8839-10a94797f783"/>
    <ds:schemaRef ds:uri="http://schemas.openxmlformats.org/package/2006/metadata/core-properties"/>
    <ds:schemaRef ds:uri="http://www.w3.org/XML/1998/namespace"/>
    <ds:schemaRef ds:uri="http://purl.org/dc/dcmitype/"/>
    <ds:schemaRef ds:uri="34894c06-4124-4d7e-83c0-b00cf85865f4"/>
    <ds:schemaRef ds:uri="2ebd080a-30ce-43e4-935a-b99c6de03ec1"/>
  </ds:schemaRefs>
</ds:datastoreItem>
</file>

<file path=customXml/itemProps3.xml><?xml version="1.0" encoding="utf-8"?>
<ds:datastoreItem xmlns:ds="http://schemas.openxmlformats.org/officeDocument/2006/customXml" ds:itemID="{AFBFE88A-F95F-4458-8CB4-43CBFDBC80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894c06-4124-4d7e-83c0-b00cf85865f4"/>
    <ds:schemaRef ds:uri="2ebd080a-30ce-43e4-935a-b99c6de03e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RESUMO</vt:lpstr>
      <vt:lpstr>Orçamento</vt:lpstr>
      <vt:lpstr>medição</vt:lpstr>
      <vt:lpstr>verificações</vt:lpstr>
      <vt:lpstr>medição!Print_Titles</vt:lpstr>
      <vt:lpstr>Orçamento!Print_Titles</vt:lpstr>
      <vt:lpstr>RESUMO!Print_Titles</vt:lpstr>
      <vt:lpstr>verificações!Print_Titles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Silva, Alphalink</dc:creator>
  <cp:lastModifiedBy>Francisco Mendes da Silva</cp:lastModifiedBy>
  <cp:lastPrinted>2024-10-21T21:58:29Z</cp:lastPrinted>
  <dcterms:created xsi:type="dcterms:W3CDTF">2007-05-14T12:04:37Z</dcterms:created>
  <dcterms:modified xsi:type="dcterms:W3CDTF">2026-09-29T14:36:50Z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0x010100249AA029C439744F8911A533C2253B4A</vt:lpwstr>
  </property>
  <property fmtid="{D5CDD505-2E9C-101B-9397-08002B2CF9AE}" pid="3" name="AuthorIds_UIVersion_2048">
    <vt:lpwstr>9</vt:lpwstr>
  </property>
  <property fmtid="{D5CDD505-2E9C-101B-9397-08002B2CF9AE}" pid="4" name="MediaServiceImageTags">
    <vt:lpwstr/>
  </property>
</Properties>
</file>